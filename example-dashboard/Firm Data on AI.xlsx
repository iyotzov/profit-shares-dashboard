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C:\Users\nbloom\Dropbox\"/>
    </mc:Choice>
  </mc:AlternateContent>
  <xr:revisionPtr revIDLastSave="0" documentId="8_{7F85938E-13EB-4C56-A21D-19256EFADADF}" xr6:coauthVersionLast="47" xr6:coauthVersionMax="47" xr10:uidLastSave="{00000000-0000-0000-0000-000000000000}"/>
  <bookViews>
    <workbookView xWindow="-96" yWindow="-96" windowWidth="23232" windowHeight="13872" xr2:uid="{129D1F6A-585E-4A63-A51D-1089D4C382FF}"/>
  </bookViews>
  <sheets>
    <sheet name="Contents" sheetId="10" r:id="rId1"/>
    <sheet name="Figure 1" sheetId="9" r:id="rId2"/>
    <sheet name="Figure 5" sheetId="2" r:id="rId3"/>
    <sheet name="Figure 7" sheetId="3" r:id="rId4"/>
    <sheet name="Figure 8" sheetId="4" r:id="rId5"/>
    <sheet name="Figure 9" sheetId="5" r:id="rId6"/>
    <sheet name="Figure 10" sheetId="6" r:id="rId7"/>
    <sheet name="Figure 11" sheetId="7" r:id="rId8"/>
    <sheet name="Figure 12" sheetId="1" r:id="rId9"/>
    <sheet name="Figure A7"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8" l="1"/>
  <c r="D13" i="8"/>
  <c r="C13" i="8"/>
  <c r="B13" i="8"/>
  <c r="F13" i="8" s="1"/>
  <c r="F12" i="8"/>
  <c r="E12" i="7"/>
  <c r="D12" i="7"/>
  <c r="C12" i="7"/>
  <c r="B12" i="7"/>
  <c r="E10" i="7"/>
  <c r="D10" i="7"/>
  <c r="C10" i="7"/>
  <c r="B10" i="7"/>
  <c r="F4" i="7" s="1"/>
  <c r="F9" i="7"/>
  <c r="E12" i="6"/>
  <c r="D12" i="6"/>
  <c r="C12" i="6"/>
  <c r="B12" i="6"/>
  <c r="E10" i="6"/>
  <c r="D10" i="6"/>
  <c r="F4" i="6" s="1"/>
  <c r="C10" i="6"/>
  <c r="F7" i="6" s="1"/>
  <c r="B10" i="6"/>
  <c r="F8" i="6" s="1"/>
  <c r="F9" i="6"/>
  <c r="E12" i="5"/>
  <c r="D12" i="5"/>
  <c r="C12" i="5"/>
  <c r="B12" i="5"/>
  <c r="E10" i="5"/>
  <c r="D10" i="5"/>
  <c r="C10" i="5"/>
  <c r="B10" i="5"/>
  <c r="F9" i="5"/>
  <c r="E12" i="4"/>
  <c r="D12" i="4"/>
  <c r="C12" i="4"/>
  <c r="B12" i="4"/>
  <c r="E10" i="4"/>
  <c r="D10" i="4"/>
  <c r="F7" i="4" s="1"/>
  <c r="C10" i="4"/>
  <c r="B10" i="4"/>
  <c r="F9" i="4"/>
  <c r="E11" i="3"/>
  <c r="D11" i="3"/>
  <c r="C11" i="3"/>
  <c r="B11" i="3"/>
  <c r="E9" i="3"/>
  <c r="D9" i="3"/>
  <c r="F5" i="3" s="1"/>
  <c r="C9" i="3"/>
  <c r="B9" i="3"/>
  <c r="F7" i="3" s="1"/>
  <c r="F8" i="3"/>
  <c r="F12" i="2"/>
  <c r="B13" i="2"/>
  <c r="C13" i="2"/>
  <c r="D13" i="2"/>
  <c r="F13" i="2" s="1"/>
  <c r="E13" i="2"/>
  <c r="B40" i="1"/>
  <c r="C25" i="1"/>
  <c r="B25" i="1"/>
  <c r="C11" i="1"/>
  <c r="B11" i="1"/>
  <c r="F10" i="7" l="1"/>
  <c r="F12" i="7"/>
  <c r="F12" i="6"/>
  <c r="F7" i="5"/>
  <c r="F12" i="5"/>
  <c r="F12" i="4"/>
  <c r="F11" i="3"/>
  <c r="F4" i="2"/>
  <c r="F11" i="8"/>
  <c r="F4" i="8"/>
  <c r="F10" i="8"/>
  <c r="F5" i="8"/>
  <c r="F6" i="8"/>
  <c r="F7" i="8"/>
  <c r="F8" i="8"/>
  <c r="F9" i="8"/>
  <c r="F6" i="7"/>
  <c r="F7" i="7"/>
  <c r="F8" i="7"/>
  <c r="F5" i="7"/>
  <c r="F5" i="6"/>
  <c r="F6" i="6"/>
  <c r="F10" i="6"/>
  <c r="F10" i="5"/>
  <c r="F6" i="5"/>
  <c r="F5" i="5"/>
  <c r="F8" i="5"/>
  <c r="F4" i="5"/>
  <c r="F10" i="4"/>
  <c r="F5" i="4"/>
  <c r="F8" i="4"/>
  <c r="F4" i="4"/>
  <c r="F6" i="4"/>
  <c r="F9" i="3"/>
  <c r="F6" i="3"/>
  <c r="F4" i="3"/>
  <c r="F11" i="2"/>
  <c r="F10" i="2"/>
  <c r="F9" i="2"/>
  <c r="F8" i="2"/>
  <c r="F7" i="2"/>
  <c r="F6" i="2"/>
  <c r="F5" i="2"/>
</calcChain>
</file>

<file path=xl/sharedStrings.xml><?xml version="1.0" encoding="utf-8"?>
<sst xmlns="http://schemas.openxmlformats.org/spreadsheetml/2006/main" count="185" uniqueCount="80">
  <si>
    <t>Table of Contents</t>
  </si>
  <si>
    <r>
      <rPr>
        <b/>
        <sz val="11"/>
        <color theme="1"/>
        <rFont val="Arial"/>
        <family val="2"/>
      </rPr>
      <t>Summary Data for Paper:</t>
    </r>
    <r>
      <rPr>
        <sz val="11"/>
        <color theme="1"/>
        <rFont val="Arial"/>
        <family val="2"/>
      </rPr>
      <t xml:space="preserve"> "Firm Data on AI" by Ivan Yotzov, Jose Maria Barrero, Nicholas Bloom, Philip Bunn, Steven J. Davis, Kevin Foster, Aaron Jalca, Brent Meyer, Paul Mizen, Michael A. Navarrete, Pawel Smietanka, Gregory Thwaites, Ben Zhe Wang, February 2026</t>
    </r>
  </si>
  <si>
    <r>
      <rPr>
        <b/>
        <sz val="11"/>
        <color theme="1"/>
        <rFont val="Arial"/>
        <family val="2"/>
      </rPr>
      <t>Last Updated:</t>
    </r>
    <r>
      <rPr>
        <sz val="11"/>
        <color theme="1"/>
        <rFont val="Arial"/>
        <family val="2"/>
      </rPr>
      <t xml:space="preserve"> 6 February 2026</t>
    </r>
  </si>
  <si>
    <t>Tab</t>
  </si>
  <si>
    <t>Description</t>
  </si>
  <si>
    <t>Figure 1</t>
  </si>
  <si>
    <t>Media coverage of AI and the Economy since 2015</t>
  </si>
  <si>
    <t>Figure 5</t>
  </si>
  <si>
    <t>AI Technologies Currently Used (% of respondents)</t>
  </si>
  <si>
    <t>Figure 7</t>
  </si>
  <si>
    <t>Frequency of AI use by survey respondent (% of respondents, average use)</t>
  </si>
  <si>
    <t>Figure 8</t>
  </si>
  <si>
    <t>Impact of AI on employment over past 3 years (% of respondents, cumulative impact)</t>
  </si>
  <si>
    <t>Figure 9</t>
  </si>
  <si>
    <t>Impact of AI on employment over next 3 years (% of respondents, cumulative impact)</t>
  </si>
  <si>
    <t>Figure 10</t>
  </si>
  <si>
    <t>Impact of AI on productivity over past 3 years (% of respondents, cumulative impact)</t>
  </si>
  <si>
    <t>Figure 11</t>
  </si>
  <si>
    <t>Impact of AI on productivity over next 3 years (% of respondents, cumulative impact)</t>
  </si>
  <si>
    <t>Figure 12</t>
  </si>
  <si>
    <t>Average AI Use at Work Last Week by Employees; Impact of AI on employment by employees; Impact of AI on productivity by employees</t>
  </si>
  <si>
    <t>Figure A7</t>
  </si>
  <si>
    <t>AI Technologies Expected to be Used over next 3 years (% of respondents)</t>
  </si>
  <si>
    <t>AIE Index</t>
  </si>
  <si>
    <t>Date</t>
  </si>
  <si>
    <r>
      <rPr>
        <b/>
        <i/>
        <sz val="10"/>
        <color theme="1"/>
        <rFont val="Arial"/>
        <family val="2"/>
      </rPr>
      <t>Source</t>
    </r>
    <r>
      <rPr>
        <i/>
        <sz val="10"/>
        <color theme="1"/>
        <rFont val="Arial"/>
        <family val="2"/>
      </rPr>
      <t xml:space="preserve">: AI Economic Uncertainty Index, measuring the coverage of AI in around 2000 daily newspapers in the US. Normalized to 100 on 2015 to 2021 inclusive. Coverage defined as articles that included (AI, artificial intelligence, genAI, machine learning, computer vision) AND (economic, economy). Based on the methodology of Baker, Bloom and Davis (2016) and provided on www.policyuncertainty.com </t>
    </r>
  </si>
  <si>
    <r>
      <rPr>
        <b/>
        <i/>
        <sz val="9"/>
        <color theme="1"/>
        <rFont val="Arial"/>
        <family val="2"/>
      </rPr>
      <t>Citation:</t>
    </r>
    <r>
      <rPr>
        <i/>
        <sz val="9"/>
        <color theme="1"/>
        <rFont val="Arial"/>
        <family val="2"/>
      </rPr>
      <t xml:space="preserve"> "Firm Data on AI" by Ivan Yotzov, Jose Maria Barrero, Nicholas Bloom, Philip Bunn, Steven J. Davis, Kevin Foster, Aaron Jalca, Brent Meyer, Paul Mizen, Michael A. Navarrete, Pawel Smietanka, Gregory Thwaites, Ben Zhe Wang, February 2026</t>
    </r>
  </si>
  <si>
    <t>UK Decision Maker Panel</t>
  </si>
  <si>
    <t>US Survey of Business Uncertainty</t>
  </si>
  <si>
    <t>Australia Business Outlook Scenarios Survey</t>
  </si>
  <si>
    <t>Germany Bundesbank Online Panel - Firms</t>
  </si>
  <si>
    <t>All Firms</t>
  </si>
  <si>
    <t>Any AI Technology</t>
  </si>
  <si>
    <t>Other</t>
  </si>
  <si>
    <t>Data processing using ML</t>
  </si>
  <si>
    <t>Visual content creation</t>
  </si>
  <si>
    <t>Text generation using LLMs</t>
  </si>
  <si>
    <t>Image processing using ML</t>
  </si>
  <si>
    <t>Robotics</t>
  </si>
  <si>
    <t>Autonomous vehicles</t>
  </si>
  <si>
    <t>Number of Survey Responses</t>
  </si>
  <si>
    <t>Share of Total Survey Responses</t>
  </si>
  <si>
    <r>
      <t>Notes</t>
    </r>
    <r>
      <rPr>
        <i/>
        <sz val="10"/>
        <color rgb="FF000000"/>
        <rFont val="Arial"/>
        <family val="2"/>
      </rPr>
      <t xml:space="preserve">: This table is based on responses to the question: “Which of the following artificial intelligence technologies, if any, does your business currently use?” Firms could select more than one option. The data from the US Survey of Business Uncertainty was collected in November 2025. The data from the UK Decision Maker Panel was collected over November 2025 – January 2026. The data from the German Bundesbank Online Panel-Firms (BOP-F) was collected in January 2026. The data from the Australian Business Outlook Scenarios Survey was collected in December 2025. The results from the SBU, DMP, and BOP-F are employment-weighted; the results from the BOSS are unweighted. </t>
    </r>
  </si>
  <si>
    <r>
      <rPr>
        <b/>
        <i/>
        <sz val="10"/>
        <color theme="1"/>
        <rFont val="Arial"/>
        <family val="2"/>
      </rPr>
      <t>Citation:</t>
    </r>
    <r>
      <rPr>
        <i/>
        <sz val="10"/>
        <color theme="1"/>
        <rFont val="Arial"/>
        <family val="2"/>
      </rPr>
      <t xml:space="preserve"> "Firm Data on AI" by Ivan Yotzov, Jose Maria Barrero, Nicholas Bloom, Philip Bunn, Steven J. Davis, Kevin Foster, Aaron Jalca, Brent Meyer, Paul Mizen, Michael A. Navarrete, Pawel Smietanka, Gregory Thwaites, Ben Zhe Wang, February 2026</t>
    </r>
  </si>
  <si>
    <t>Not at all</t>
  </si>
  <si>
    <t>Up to 1 hour a week</t>
  </si>
  <si>
    <t>1 to 5 hours a week</t>
  </si>
  <si>
    <t>&gt;5 hours a week</t>
  </si>
  <si>
    <t>Average use per week (hours):</t>
  </si>
  <si>
    <r>
      <t>Notes</t>
    </r>
    <r>
      <rPr>
        <i/>
        <sz val="10"/>
        <color rgb="FF000000"/>
        <rFont val="Arial"/>
        <family val="2"/>
      </rPr>
      <t xml:space="preserve">: This table is based on responses to the question: “On average, how frequently do you personally use artificial intelligence technologies in a typical working week?” The data from the US Survey of Business Uncertainty was collected in November 2025. The data from the UK Decision Maker Panel was collected over November 2025 – January 2026. The data from the Australian Business Outlook Scenarios Survey was collected in December 2025. The data from the German Bundesbank Online Panel – Firms (BOP-F) were collected in January 2026. The results from the SBU, DMP, and BOP-F are employment-weighted; the results from the BOSS are unweighted. </t>
    </r>
  </si>
  <si>
    <t>Large negative impact, reducing employment by &gt;5%</t>
  </si>
  <si>
    <t>Small negative impact, reducing employment by  &lt;5%</t>
  </si>
  <si>
    <t>No impact</t>
  </si>
  <si>
    <t>Small positive impact, reducing employment by &lt;5%</t>
  </si>
  <si>
    <t>Large positive impact, reducing employment by &gt;5%</t>
  </si>
  <si>
    <t>Cumulative impact over past 3 years (%)</t>
  </si>
  <si>
    <r>
      <t>Notes</t>
    </r>
    <r>
      <rPr>
        <i/>
        <sz val="10"/>
        <color rgb="FF000000"/>
        <rFont val="Arial"/>
        <family val="2"/>
      </rPr>
      <t xml:space="preserve">: This table is based on responses to the question: “How has the adoption of artificial intelligence technologies affected the number of employees in your business over he past three years?” The data from the US Survey of Business Uncertainty was collected in November 2025. The data from the UK Decision Maker Panel was collected over November 2025 – January 2026. The data from the German Bundesbank Online Panel-Firms (BOP-F) was collected in January 2026.  The data from the Australian Business Outlook Scenarios Survey was collected in December 2025. The results from the SBU, DMP, and BOP-F are employment-weighted; the results from the BOSS are unweighted.  </t>
    </r>
  </si>
  <si>
    <t>Cumulative impact over next 3 years (%)</t>
  </si>
  <si>
    <r>
      <t>Notes</t>
    </r>
    <r>
      <rPr>
        <i/>
        <sz val="10"/>
        <color rgb="FF000000"/>
        <rFont val="Arial"/>
        <family val="2"/>
      </rPr>
      <t xml:space="preserve">: This table is based on responses to the question: “How has the adoption of artificial intelligence technologies affected the number of employees in your business over he past three years? And how do you expect this to affect your number of employees over the next 3 years?” The data from the US Survey of Business Uncertainty was collected in November 2025. The data from the UK Decision Maker Panel was collected over November 2025 – January 2026. The data from the German Bundesbank Online Panel-Firms (BOP-F) was collected in January 2026. The data from the Australian Business Outlook Scenarios Survey was collected in December 2025. The results from the SBU, DMP, and BOP-F are employment-weighted; the results from the BOSS are unweighted. </t>
    </r>
  </si>
  <si>
    <t>Large negative impact, reducing productivity by &gt;5%</t>
  </si>
  <si>
    <t>Small negative impact, reducing productivity by  &lt;5%</t>
  </si>
  <si>
    <t>Small positive impact, reducing productivity by &lt;5%</t>
  </si>
  <si>
    <t>Large positive impact, reducing productivity by &gt;5%</t>
  </si>
  <si>
    <r>
      <t>Notes</t>
    </r>
    <r>
      <rPr>
        <i/>
        <sz val="10"/>
        <color rgb="FF000000"/>
        <rFont val="Arial"/>
        <family val="2"/>
      </rPr>
      <t xml:space="preserve">: This table is based on responses to the question: “How has the adoption of artificial intelligence technologies affected the volume of sales per employee in your business over he past three years?” The data from the US Survey of Business Uncertainty was collected in November 2025. The data from the UK Decision Maker Panel was collected over November 2025 – January 2026. The data from the German Bundesbank Online Panel-Firms (BOP-F) was collected in January 2026. The data from the Australian Business Outlook Scenarios Survey was collected in December 2025. The results from the SBU, DMP, and BOP-F are employment-weighted; the results from the BOSS are unweighted. </t>
    </r>
  </si>
  <si>
    <r>
      <t>Notes</t>
    </r>
    <r>
      <rPr>
        <i/>
        <sz val="10"/>
        <color rgb="FF000000"/>
        <rFont val="Arial"/>
        <family val="2"/>
      </rPr>
      <t xml:space="preserve">: This table is based on responses to the question: “How has the adoption of artificial intelligence technologies affected volume of sales per employee in your business over he past three years? And how do you expect this to affect your volume of sales per employee over the next 3 years?” The data from the US Survey of Business Uncertainty was collected in November 2025. The data from the UK Decision Maker Panel was collected over November 2025 – January 2026. The data from the German Bundesbank Online Panel-Firms (BOP-F) was collected in January 2026. The data from the Australian Business Outlook Scenarios Survey was collected in December 2025. The results from the SBU, DMP, and BOP-F are employment-weighted; the results from the BOSS are unweighted. </t>
    </r>
  </si>
  <si>
    <t>Impact of AI on employment by employees (% of respondents, cumulative impact)</t>
  </si>
  <si>
    <t>Past 3 Years</t>
  </si>
  <si>
    <t>Next 3 Years</t>
  </si>
  <si>
    <t>Cumulative impact (%)</t>
  </si>
  <si>
    <r>
      <rPr>
        <b/>
        <i/>
        <sz val="10"/>
        <color theme="1"/>
        <rFont val="Arial"/>
        <family val="2"/>
      </rPr>
      <t>Notes:</t>
    </r>
    <r>
      <rPr>
        <i/>
        <sz val="10"/>
        <color theme="1"/>
        <rFont val="Arial"/>
        <family val="2"/>
      </rPr>
      <t xml:space="preserve"> This table is based on responses to the question: "How has the adoption of Artificial Intelligence technologies affected the NUMBER OF EMPLOYEES who work for your employer: over the past three years? over the next three years?" The sample includes respondents to the December 2025 SWAA wave who worked for pay during the week prior to the survey and pass our attention-check questions. We restrict attention to wage and salary employees, (excluding self-employed workers and contractors). We reweight the raw responses to match the 2024 US population in cells defined by the cross product of age, sex, education and earnings.</t>
    </r>
  </si>
  <si>
    <t>Impact of AI on productivity by employees (% of respondents, cumulative impact)</t>
  </si>
  <si>
    <r>
      <rPr>
        <b/>
        <i/>
        <sz val="10"/>
        <color theme="1"/>
        <rFont val="Arial"/>
        <family val="2"/>
      </rPr>
      <t>Notes:</t>
    </r>
    <r>
      <rPr>
        <i/>
        <sz val="10"/>
        <color theme="1"/>
        <rFont val="Arial"/>
        <family val="2"/>
      </rPr>
      <t xml:space="preserve"> This table is based on responses to the question: "How has the adoption of Artificial Intelligence technologies affected your employer's SALES PER WORKER (PRODUCTIVITY): over the past three years? over the next three years?" The sample includes respondents to the December 2025 SWAA wave who worked for pay during the week prior to the survey and pass our attention-check questions. We restrict attention to wage and salary employees, (excluding self-employed workers and contractors). We reweight the raw responses to match the 2024 US population in cells defined by the cross product of age, sex, education and earnings.</t>
    </r>
  </si>
  <si>
    <t>Average AI Use at Work Last Week by Employees (% of respondents, cumulative impact)</t>
  </si>
  <si>
    <t>AI Use</t>
  </si>
  <si>
    <t>&lt;15 min a day</t>
  </si>
  <si>
    <t>Between 15 minutes and 1 hour a day</t>
  </si>
  <si>
    <t>Between 1 hour and 4 hours a day</t>
  </si>
  <si>
    <t>More than 4 hours a day</t>
  </si>
  <si>
    <r>
      <rPr>
        <b/>
        <i/>
        <sz val="10"/>
        <color theme="1"/>
        <rFont val="Arial"/>
        <family val="2"/>
      </rPr>
      <t>Notes</t>
    </r>
    <r>
      <rPr>
        <i/>
        <sz val="10"/>
        <color theme="1"/>
        <rFont val="Arial"/>
        <family val="2"/>
      </rPr>
      <t>: This table is based on responses to the questions: "You indicated that you sometimes use Generative AI for your job. Did you use Generative AI for your job LAST WEEK? Please think back to the days LAST WEEK on which you used Generative AI for your job. On average, how much time did you spend actively using Generative AI for your job?" The sample includes respondents to the December 2025 SWAA wave who worked for pay during the week prior to the survey and pass our attention-check questions. We impute zero AI use for respondents who did not use it last week, or do not use it for their job. We reweight the raw responses to match the 2024 US population in cells defined by the cross product of age, sex, education and earnings.</t>
    </r>
  </si>
  <si>
    <r>
      <t>Notes</t>
    </r>
    <r>
      <rPr>
        <i/>
        <sz val="10"/>
        <color rgb="FF000000"/>
        <rFont val="Arial"/>
        <family val="2"/>
      </rPr>
      <t xml:space="preserve">: This table is based on responses to the question: “Which of the following artificial intelligence technologies, if any, does your business currently use? And which do you intend to make use of over the next three years?” Firms could select more than one option. The data from the US Survey of Business Uncertainty was collected in November 2025. The data from the UK Decision Maker Panel was collected over November 2025 – January 2026. The data from the German Bundesbank Online Panel – Firms (BOP-F) were collected in January 2026. The data from the Australian Business Outlook Scenarios Survey was collected in December 2025. The results from the SBU, DMP, and BOP-F are employment-weighted; the results from the BOSS are unweighted.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</si>
</sst>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Aptos Narrow"/>
      <family val="2"/>
      <scheme val="minor"/>
    </font>
    <font>
      <b/>
      <sz val="11"/>
      <color theme="1"/>
      <name val="Arial"/>
      <family val="2"/>
    </font>
    <font>
      <sz val="11"/>
      <color theme="1"/>
      <name val="Arial"/>
      <family val="2"/>
    </font>
    <font>
      <b/>
      <sz val="12"/>
      <color theme="1"/>
      <name val="Arial"/>
      <family val="2"/>
    </font>
    <font>
      <b/>
      <i/>
      <sz val="11"/>
      <color theme="1"/>
      <name val="Arial"/>
      <family val="2"/>
    </font>
    <font>
      <i/>
      <sz val="11"/>
      <color theme="1"/>
      <name val="Arial"/>
      <family val="2"/>
    </font>
    <font>
      <b/>
      <i/>
      <sz val="10"/>
      <color rgb="FF000000"/>
      <name val="Arial"/>
      <family val="2"/>
    </font>
    <font>
      <i/>
      <sz val="10"/>
      <color rgb="FF000000"/>
      <name val="Arial"/>
      <family val="2"/>
    </font>
    <font>
      <i/>
      <sz val="10"/>
      <color theme="1"/>
      <name val="Arial"/>
      <family val="2"/>
    </font>
    <font>
      <b/>
      <i/>
      <sz val="10"/>
      <color theme="1"/>
      <name val="Arial"/>
      <family val="2"/>
    </font>
    <font>
      <i/>
      <sz val="9"/>
      <color theme="1"/>
      <name val="Arial"/>
      <family val="2"/>
    </font>
    <font>
      <b/>
      <i/>
      <sz val="9"/>
      <color theme="1"/>
      <name val="Arial"/>
      <family val="2"/>
    </font>
    <font>
      <b/>
      <sz val="11"/>
      <color theme="1"/>
      <name val="Aptos Narrow"/>
      <family val="2"/>
      <scheme val="minor"/>
    </font>
    <font>
      <u/>
      <sz val="11"/>
      <color theme="10"/>
      <name val="Aptos Narrow"/>
      <family val="2"/>
      <scheme val="minor"/>
    </font>
    <font>
      <u/>
      <sz val="11"/>
      <color theme="10"/>
      <name val="Arial"/>
      <family val="2"/>
    </font>
    <font>
      <b/>
      <sz val="14"/>
      <color theme="1"/>
      <name val="Arial"/>
      <family val="2"/>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11">
    <border>
      <left/>
      <right/>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50">
    <xf numFmtId="0" fontId="0" fillId="0" borderId="0" xfId="0"/>
    <xf numFmtId="0" fontId="2" fillId="0" borderId="0" xfId="0" applyFont="1"/>
    <xf numFmtId="0" fontId="1" fillId="2" borderId="3" xfId="0" applyFont="1" applyFill="1" applyBorder="1" applyAlignment="1">
      <alignment horizontal="center" vertical="center"/>
    </xf>
    <xf numFmtId="1" fontId="2" fillId="2" borderId="4" xfId="0" applyNumberFormat="1" applyFont="1" applyFill="1" applyBorder="1"/>
    <xf numFmtId="1" fontId="2" fillId="2" borderId="2" xfId="0" applyNumberFormat="1" applyFont="1" applyFill="1" applyBorder="1"/>
    <xf numFmtId="0" fontId="2" fillId="2" borderId="4" xfId="0" applyFont="1" applyFill="1" applyBorder="1"/>
    <xf numFmtId="164" fontId="5" fillId="2" borderId="4" xfId="0" applyNumberFormat="1" applyFont="1" applyFill="1" applyBorder="1"/>
    <xf numFmtId="2" fontId="5" fillId="2" borderId="4" xfId="0" applyNumberFormat="1" applyFont="1" applyFill="1" applyBorder="1"/>
    <xf numFmtId="0" fontId="2" fillId="3" borderId="0" xfId="0" applyFont="1" applyFill="1"/>
    <xf numFmtId="0" fontId="3" fillId="3" borderId="0" xfId="0" applyFont="1" applyFill="1"/>
    <xf numFmtId="0" fontId="1" fillId="3" borderId="3" xfId="0" applyFont="1" applyFill="1" applyBorder="1"/>
    <xf numFmtId="0" fontId="1" fillId="3" borderId="1" xfId="0" applyFont="1" applyFill="1" applyBorder="1" applyAlignment="1">
      <alignment horizontal="center" vertical="center" wrapText="1"/>
    </xf>
    <xf numFmtId="0" fontId="2" fillId="3" borderId="4" xfId="0" applyFont="1" applyFill="1" applyBorder="1"/>
    <xf numFmtId="1" fontId="2" fillId="3" borderId="0" xfId="0" applyNumberFormat="1" applyFont="1" applyFill="1"/>
    <xf numFmtId="1" fontId="2" fillId="3" borderId="4" xfId="0" applyNumberFormat="1" applyFont="1" applyFill="1" applyBorder="1"/>
    <xf numFmtId="0" fontId="1" fillId="3" borderId="4" xfId="0" applyFont="1" applyFill="1" applyBorder="1"/>
    <xf numFmtId="2" fontId="2" fillId="3" borderId="0" xfId="0" applyNumberFormat="1" applyFont="1" applyFill="1"/>
    <xf numFmtId="0" fontId="6" fillId="3" borderId="0" xfId="0" applyFont="1" applyFill="1"/>
    <xf numFmtId="0" fontId="4" fillId="3" borderId="4" xfId="0" applyFont="1" applyFill="1" applyBorder="1"/>
    <xf numFmtId="164" fontId="5" fillId="3" borderId="0" xfId="0" applyNumberFormat="1" applyFont="1" applyFill="1"/>
    <xf numFmtId="0" fontId="6" fillId="3" borderId="0" xfId="0" applyFont="1" applyFill="1" applyAlignment="1">
      <alignment horizontal="left" vertical="center" readingOrder="1"/>
    </xf>
    <xf numFmtId="1" fontId="2" fillId="3" borderId="5" xfId="0" applyNumberFormat="1" applyFont="1" applyFill="1" applyBorder="1"/>
    <xf numFmtId="1" fontId="2" fillId="3" borderId="6" xfId="0" applyNumberFormat="1" applyFont="1" applyFill="1" applyBorder="1"/>
    <xf numFmtId="0" fontId="1" fillId="3" borderId="0" xfId="0" applyFont="1" applyFill="1"/>
    <xf numFmtId="0" fontId="2" fillId="3" borderId="6" xfId="0" applyFont="1" applyFill="1" applyBorder="1"/>
    <xf numFmtId="2" fontId="2" fillId="3" borderId="6" xfId="0" applyNumberFormat="1" applyFont="1" applyFill="1" applyBorder="1"/>
    <xf numFmtId="0" fontId="4" fillId="3" borderId="0" xfId="0" applyFont="1" applyFill="1"/>
    <xf numFmtId="2" fontId="5" fillId="3" borderId="6" xfId="0" applyNumberFormat="1" applyFont="1" applyFill="1" applyBorder="1"/>
    <xf numFmtId="2" fontId="5" fillId="3" borderId="0" xfId="0" applyNumberFormat="1" applyFont="1" applyFill="1"/>
    <xf numFmtId="0" fontId="8" fillId="3" borderId="0" xfId="0" applyFont="1" applyFill="1"/>
    <xf numFmtId="0" fontId="2" fillId="3" borderId="1" xfId="0" applyFont="1" applyFill="1" applyBorder="1"/>
    <xf numFmtId="0" fontId="1" fillId="3" borderId="7" xfId="0" applyFont="1" applyFill="1" applyBorder="1" applyAlignment="1">
      <alignment horizontal="center" vertical="center"/>
    </xf>
    <xf numFmtId="0" fontId="2" fillId="3" borderId="2" xfId="0" applyFont="1" applyFill="1" applyBorder="1"/>
    <xf numFmtId="0" fontId="1" fillId="3" borderId="7" xfId="0" applyFont="1" applyFill="1" applyBorder="1" applyAlignment="1">
      <alignment horizontal="center" vertical="center" wrapText="1"/>
    </xf>
    <xf numFmtId="1" fontId="2" fillId="3" borderId="8" xfId="0" applyNumberFormat="1" applyFont="1" applyFill="1" applyBorder="1"/>
    <xf numFmtId="1" fontId="2" fillId="3" borderId="9" xfId="0" applyNumberFormat="1" applyFont="1" applyFill="1" applyBorder="1"/>
    <xf numFmtId="0" fontId="2" fillId="3" borderId="9" xfId="0" applyFont="1" applyFill="1" applyBorder="1"/>
    <xf numFmtId="2" fontId="5" fillId="3" borderId="9" xfId="0" applyNumberFormat="1" applyFont="1" applyFill="1" applyBorder="1"/>
    <xf numFmtId="0" fontId="0" fillId="3" borderId="0" xfId="0" applyFill="1"/>
    <xf numFmtId="164" fontId="5" fillId="3" borderId="9" xfId="0" applyNumberFormat="1" applyFont="1" applyFill="1" applyBorder="1"/>
    <xf numFmtId="0" fontId="10" fillId="3" borderId="0" xfId="0" applyFont="1" applyFill="1"/>
    <xf numFmtId="0" fontId="12" fillId="0" borderId="0" xfId="0" applyFont="1"/>
    <xf numFmtId="0" fontId="3" fillId="0" borderId="0" xfId="0" applyFont="1"/>
    <xf numFmtId="17" fontId="0" fillId="0" borderId="0" xfId="0" applyNumberFormat="1"/>
    <xf numFmtId="0" fontId="8" fillId="0" borderId="0" xfId="0" applyFont="1"/>
    <xf numFmtId="0" fontId="15" fillId="0" borderId="0" xfId="0" applyFont="1"/>
    <xf numFmtId="0" fontId="1" fillId="0" borderId="10" xfId="0" applyFont="1" applyBorder="1"/>
    <xf numFmtId="0" fontId="14" fillId="0" borderId="0" xfId="1" applyFont="1" applyFill="1"/>
    <xf numFmtId="0" fontId="14" fillId="0" borderId="0" xfId="1" applyFont="1"/>
    <xf numFmtId="3" fontId="2" fillId="3"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A5CA0-3D4A-4D6B-8BFE-208B17132016}">
  <sheetPr>
    <tabColor rgb="FF00B0F0"/>
  </sheetPr>
  <dimension ref="A1:B16"/>
  <sheetViews>
    <sheetView tabSelected="1" workbookViewId="0">
      <selection activeCell="A4" sqref="A4"/>
    </sheetView>
  </sheetViews>
  <sheetFormatPr defaultRowHeight="14.45"/>
  <cols>
    <col min="1" max="1" width="12.7109375" customWidth="1"/>
    <col min="2" max="2" width="123.7109375" bestFit="1" customWidth="1"/>
  </cols>
  <sheetData>
    <row r="1" spans="1:2" ht="17.649999999999999">
      <c r="A1" s="45" t="s">
        <v>0</v>
      </c>
    </row>
    <row r="2" spans="1:2" ht="17.649999999999999">
      <c r="A2" s="45"/>
    </row>
    <row r="3" spans="1:2">
      <c r="A3" s="1" t="s">
        <v>1</v>
      </c>
    </row>
    <row r="4" spans="1:2">
      <c r="A4" s="1" t="s">
        <v>2</v>
      </c>
    </row>
    <row r="7" spans="1:2" ht="21" customHeight="1">
      <c r="A7" s="46" t="s">
        <v>3</v>
      </c>
      <c r="B7" s="46" t="s">
        <v>4</v>
      </c>
    </row>
    <row r="8" spans="1:2" ht="21" customHeight="1">
      <c r="A8" s="47" t="s">
        <v>5</v>
      </c>
      <c r="B8" s="1" t="s">
        <v>6</v>
      </c>
    </row>
    <row r="9" spans="1:2" ht="21" customHeight="1">
      <c r="A9" s="47" t="s">
        <v>7</v>
      </c>
      <c r="B9" s="1" t="s">
        <v>8</v>
      </c>
    </row>
    <row r="10" spans="1:2" ht="21" customHeight="1">
      <c r="A10" s="47" t="s">
        <v>9</v>
      </c>
      <c r="B10" s="1" t="s">
        <v>10</v>
      </c>
    </row>
    <row r="11" spans="1:2" ht="21" customHeight="1">
      <c r="A11" s="47" t="s">
        <v>11</v>
      </c>
      <c r="B11" s="1" t="s">
        <v>12</v>
      </c>
    </row>
    <row r="12" spans="1:2" ht="21" customHeight="1">
      <c r="A12" s="47" t="s">
        <v>13</v>
      </c>
      <c r="B12" s="1" t="s">
        <v>14</v>
      </c>
    </row>
    <row r="13" spans="1:2" ht="21" customHeight="1">
      <c r="A13" s="47" t="s">
        <v>15</v>
      </c>
      <c r="B13" s="1" t="s">
        <v>16</v>
      </c>
    </row>
    <row r="14" spans="1:2" ht="21" customHeight="1">
      <c r="A14" s="47" t="s">
        <v>17</v>
      </c>
      <c r="B14" s="1" t="s">
        <v>18</v>
      </c>
    </row>
    <row r="15" spans="1:2" ht="21" customHeight="1">
      <c r="A15" s="47" t="s">
        <v>19</v>
      </c>
      <c r="B15" s="1" t="s">
        <v>20</v>
      </c>
    </row>
    <row r="16" spans="1:2" ht="21" customHeight="1">
      <c r="A16" s="47" t="s">
        <v>21</v>
      </c>
      <c r="B16" s="1" t="s">
        <v>22</v>
      </c>
    </row>
  </sheetData>
  <hyperlinks>
    <hyperlink ref="A8" location="'Figure 1'!A1" display="Figure 1" xr:uid="{AE56ED53-2622-400B-B177-35AB6F69E7A8}"/>
    <hyperlink ref="A9" location="'Figure 5'!A1" display="Figure 5" xr:uid="{073D175B-DBB0-48D9-A040-B2279D203BA1}"/>
    <hyperlink ref="A10" location="'Figure 7'!A1" display="Figure 7" xr:uid="{054CDB82-8C20-4901-92F6-B8CD06E4DE57}"/>
    <hyperlink ref="A11" location="'Figure 8'!A1" display="Figure 8" xr:uid="{F3C70B57-5678-4F3C-8E58-99D9A9E4481D}"/>
    <hyperlink ref="A12" location="'Figure 9'!A1" display="Figure 9" xr:uid="{EDBA3CEB-FE51-4931-B7D6-407EA5C5467A}"/>
    <hyperlink ref="A13" location="'Figure 10'!A1" display="Figure 10" xr:uid="{5B235201-835E-4538-BF5D-2017BD89E770}"/>
    <hyperlink ref="A14" location="'Figure 11'!A1" display="Figure 11" xr:uid="{BFBA975C-B253-4770-9120-18389C49322D}"/>
    <hyperlink ref="A15" location="'Figure 12'!A1" display="Figure 12" xr:uid="{02320C13-BFFF-4CF5-B451-8618508EA995}"/>
    <hyperlink ref="A16" location="'Figure A7'!A1" display="Figure A7" xr:uid="{C112DFBA-AEAE-48F3-8ED9-26D8CF7CB6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D7C6F-1D0A-42F5-91FC-7FF9D4D02AAC}">
  <dimension ref="A2:B142"/>
  <sheetViews>
    <sheetView topLeftCell="A27" workbookViewId="0">
      <selection activeCell="D133" sqref="D133"/>
    </sheetView>
  </sheetViews>
  <sheetFormatPr defaultRowHeight="14.45"/>
  <cols>
    <col min="1" max="1" width="12.5703125" customWidth="1"/>
  </cols>
  <sheetData>
    <row r="2" spans="1:2" ht="15.4">
      <c r="A2" s="42" t="s">
        <v>6</v>
      </c>
    </row>
    <row r="4" spans="1:2">
      <c r="A4" s="41" t="s">
        <v>23</v>
      </c>
      <c r="B4" s="41" t="s">
        <v>24</v>
      </c>
    </row>
    <row r="5" spans="1:2">
      <c r="A5">
        <v>31.937287000000001</v>
      </c>
      <c r="B5" s="43">
        <v>42005</v>
      </c>
    </row>
    <row r="6" spans="1:2">
      <c r="A6">
        <v>20.191188</v>
      </c>
      <c r="B6" s="43">
        <v>42036</v>
      </c>
    </row>
    <row r="7" spans="1:2">
      <c r="A7">
        <v>27.188759999999998</v>
      </c>
      <c r="B7" s="43">
        <v>42064</v>
      </c>
    </row>
    <row r="8" spans="1:2">
      <c r="A8">
        <v>19.698103</v>
      </c>
      <c r="B8" s="43">
        <v>42095</v>
      </c>
    </row>
    <row r="9" spans="1:2">
      <c r="A9">
        <v>19.895050999999999</v>
      </c>
      <c r="B9" s="43">
        <v>42125</v>
      </c>
    </row>
    <row r="10" spans="1:2">
      <c r="A10">
        <v>19.377095000000001</v>
      </c>
      <c r="B10" s="43">
        <v>42156</v>
      </c>
    </row>
    <row r="11" spans="1:2">
      <c r="A11">
        <v>23.367196</v>
      </c>
      <c r="B11" s="43">
        <v>42186</v>
      </c>
    </row>
    <row r="12" spans="1:2">
      <c r="A12">
        <v>17.998397000000001</v>
      </c>
      <c r="B12" s="43">
        <v>42217</v>
      </c>
    </row>
    <row r="13" spans="1:2">
      <c r="A13">
        <v>27.930541999999999</v>
      </c>
      <c r="B13" s="43">
        <v>42248</v>
      </c>
    </row>
    <row r="14" spans="1:2">
      <c r="A14">
        <v>28.806981</v>
      </c>
      <c r="B14" s="43">
        <v>42278</v>
      </c>
    </row>
    <row r="15" spans="1:2">
      <c r="A15">
        <v>23.978922000000001</v>
      </c>
      <c r="B15" s="43">
        <v>42309</v>
      </c>
    </row>
    <row r="16" spans="1:2">
      <c r="A16">
        <v>27.781292000000001</v>
      </c>
      <c r="B16" s="43">
        <v>42339</v>
      </c>
    </row>
    <row r="17" spans="1:2">
      <c r="A17">
        <v>47.886375000000001</v>
      </c>
      <c r="B17" s="43">
        <v>42370</v>
      </c>
    </row>
    <row r="18" spans="1:2">
      <c r="A18">
        <v>32.355887000000003</v>
      </c>
      <c r="B18" s="43">
        <v>42401</v>
      </c>
    </row>
    <row r="19" spans="1:2">
      <c r="A19">
        <v>42.840978999999997</v>
      </c>
      <c r="B19" s="43">
        <v>42430</v>
      </c>
    </row>
    <row r="20" spans="1:2">
      <c r="A20">
        <v>29.660923</v>
      </c>
      <c r="B20" s="43">
        <v>42461</v>
      </c>
    </row>
    <row r="21" spans="1:2">
      <c r="A21">
        <v>31.203814999999999</v>
      </c>
      <c r="B21" s="43">
        <v>42491</v>
      </c>
    </row>
    <row r="22" spans="1:2">
      <c r="A22">
        <v>36.067551999999999</v>
      </c>
      <c r="B22" s="43">
        <v>42522</v>
      </c>
    </row>
    <row r="23" spans="1:2">
      <c r="A23">
        <v>26.317450999999998</v>
      </c>
      <c r="B23" s="43">
        <v>42552</v>
      </c>
    </row>
    <row r="24" spans="1:2">
      <c r="A24">
        <v>44.973336000000003</v>
      </c>
      <c r="B24" s="43">
        <v>42583</v>
      </c>
    </row>
    <row r="25" spans="1:2">
      <c r="A25">
        <v>60.611753999999998</v>
      </c>
      <c r="B25" s="43">
        <v>42614</v>
      </c>
    </row>
    <row r="26" spans="1:2">
      <c r="A26">
        <v>54.296540999999998</v>
      </c>
      <c r="B26" s="43">
        <v>42644</v>
      </c>
    </row>
    <row r="27" spans="1:2">
      <c r="A27">
        <v>46.759805999999998</v>
      </c>
      <c r="B27" s="43">
        <v>42675</v>
      </c>
    </row>
    <row r="28" spans="1:2">
      <c r="A28">
        <v>57.297105999999999</v>
      </c>
      <c r="B28" s="43">
        <v>42705</v>
      </c>
    </row>
    <row r="29" spans="1:2">
      <c r="A29">
        <v>54.898204999999997</v>
      </c>
      <c r="B29" s="43">
        <v>42736</v>
      </c>
    </row>
    <row r="30" spans="1:2">
      <c r="A30">
        <v>56.317746999999997</v>
      </c>
      <c r="B30" s="43">
        <v>42767</v>
      </c>
    </row>
    <row r="31" spans="1:2">
      <c r="A31">
        <v>72.237391000000002</v>
      </c>
      <c r="B31" s="43">
        <v>42795</v>
      </c>
    </row>
    <row r="32" spans="1:2">
      <c r="A32">
        <v>56.230697999999997</v>
      </c>
      <c r="B32" s="43">
        <v>42826</v>
      </c>
    </row>
    <row r="33" spans="1:2">
      <c r="A33">
        <v>83.831997000000001</v>
      </c>
      <c r="B33" s="43">
        <v>42856</v>
      </c>
    </row>
    <row r="34" spans="1:2">
      <c r="A34">
        <v>74.209458999999995</v>
      </c>
      <c r="B34" s="43">
        <v>42887</v>
      </c>
    </row>
    <row r="35" spans="1:2">
      <c r="A35">
        <v>94.154184000000001</v>
      </c>
      <c r="B35" s="43">
        <v>42917</v>
      </c>
    </row>
    <row r="36" spans="1:2">
      <c r="A36">
        <v>76.717133000000004</v>
      </c>
      <c r="B36" s="43">
        <v>42948</v>
      </c>
    </row>
    <row r="37" spans="1:2">
      <c r="A37">
        <v>75.217348999999999</v>
      </c>
      <c r="B37" s="43">
        <v>42979</v>
      </c>
    </row>
    <row r="38" spans="1:2">
      <c r="A38">
        <v>96.679379999999995</v>
      </c>
      <c r="B38" s="43">
        <v>43009</v>
      </c>
    </row>
    <row r="39" spans="1:2">
      <c r="A39">
        <v>75.988979</v>
      </c>
      <c r="B39" s="43">
        <v>43040</v>
      </c>
    </row>
    <row r="40" spans="1:2">
      <c r="A40">
        <v>99.202507999999995</v>
      </c>
      <c r="B40" s="43">
        <v>43070</v>
      </c>
    </row>
    <row r="41" spans="1:2">
      <c r="A41">
        <v>103.23893</v>
      </c>
      <c r="B41" s="43">
        <v>43101</v>
      </c>
    </row>
    <row r="42" spans="1:2">
      <c r="A42">
        <v>75.600162999999995</v>
      </c>
      <c r="B42" s="43">
        <v>43132</v>
      </c>
    </row>
    <row r="43" spans="1:2">
      <c r="A43">
        <v>109.13651</v>
      </c>
      <c r="B43" s="43">
        <v>43160</v>
      </c>
    </row>
    <row r="44" spans="1:2">
      <c r="A44">
        <v>110.01102</v>
      </c>
      <c r="B44" s="43">
        <v>43191</v>
      </c>
    </row>
    <row r="45" spans="1:2">
      <c r="A45">
        <v>102.48754</v>
      </c>
      <c r="B45" s="43">
        <v>43221</v>
      </c>
    </row>
    <row r="46" spans="1:2">
      <c r="A46">
        <v>110.34413000000001</v>
      </c>
      <c r="B46" s="43">
        <v>43252</v>
      </c>
    </row>
    <row r="47" spans="1:2">
      <c r="A47">
        <v>118.60961</v>
      </c>
      <c r="B47" s="43">
        <v>43282</v>
      </c>
    </row>
    <row r="48" spans="1:2">
      <c r="A48">
        <v>97.613578000000004</v>
      </c>
      <c r="B48" s="43">
        <v>43313</v>
      </c>
    </row>
    <row r="49" spans="1:2">
      <c r="A49">
        <v>114.25498</v>
      </c>
      <c r="B49" s="43">
        <v>43344</v>
      </c>
    </row>
    <row r="50" spans="1:2">
      <c r="A50">
        <v>125.63609</v>
      </c>
      <c r="B50" s="43">
        <v>43374</v>
      </c>
    </row>
    <row r="51" spans="1:2">
      <c r="A51">
        <v>155.85283999999999</v>
      </c>
      <c r="B51" s="43">
        <v>43405</v>
      </c>
    </row>
    <row r="52" spans="1:2">
      <c r="A52">
        <v>133.40448000000001</v>
      </c>
      <c r="B52" s="43">
        <v>43435</v>
      </c>
    </row>
    <row r="53" spans="1:2">
      <c r="A53">
        <v>167.80647999999999</v>
      </c>
      <c r="B53" s="43">
        <v>43466</v>
      </c>
    </row>
    <row r="54" spans="1:2">
      <c r="A54">
        <v>156.30330000000001</v>
      </c>
      <c r="B54" s="43">
        <v>43497</v>
      </c>
    </row>
    <row r="55" spans="1:2">
      <c r="A55">
        <v>108.78588000000001</v>
      </c>
      <c r="B55" s="43">
        <v>43525</v>
      </c>
    </row>
    <row r="56" spans="1:2">
      <c r="A56">
        <v>131.74858</v>
      </c>
      <c r="B56" s="43">
        <v>43556</v>
      </c>
    </row>
    <row r="57" spans="1:2">
      <c r="A57">
        <v>139.65458000000001</v>
      </c>
      <c r="B57" s="43">
        <v>43586</v>
      </c>
    </row>
    <row r="58" spans="1:2">
      <c r="A58">
        <v>158.95414</v>
      </c>
      <c r="B58" s="43">
        <v>43617</v>
      </c>
    </row>
    <row r="59" spans="1:2">
      <c r="A59">
        <v>121.14497</v>
      </c>
      <c r="B59" s="43">
        <v>43647</v>
      </c>
    </row>
    <row r="60" spans="1:2">
      <c r="A60">
        <v>153.97011000000001</v>
      </c>
      <c r="B60" s="43">
        <v>43678</v>
      </c>
    </row>
    <row r="61" spans="1:2">
      <c r="A61">
        <v>163.62326999999999</v>
      </c>
      <c r="B61" s="43">
        <v>43709</v>
      </c>
    </row>
    <row r="62" spans="1:2">
      <c r="A62">
        <v>144.07109</v>
      </c>
      <c r="B62" s="43">
        <v>43739</v>
      </c>
    </row>
    <row r="63" spans="1:2">
      <c r="A63">
        <v>141.15431000000001</v>
      </c>
      <c r="B63" s="43">
        <v>43770</v>
      </c>
    </row>
    <row r="64" spans="1:2">
      <c r="A64">
        <v>186.72512</v>
      </c>
      <c r="B64" s="43">
        <v>43800</v>
      </c>
    </row>
    <row r="65" spans="1:2">
      <c r="A65">
        <v>215.16477</v>
      </c>
      <c r="B65" s="43">
        <v>43831</v>
      </c>
    </row>
    <row r="66" spans="1:2">
      <c r="A66">
        <v>165.43726000000001</v>
      </c>
      <c r="B66" s="43">
        <v>43862</v>
      </c>
    </row>
    <row r="67" spans="1:2">
      <c r="A67">
        <v>112.79129</v>
      </c>
      <c r="B67" s="43">
        <v>43891</v>
      </c>
    </row>
    <row r="68" spans="1:2">
      <c r="A68">
        <v>136.29361</v>
      </c>
      <c r="B68" s="43">
        <v>43922</v>
      </c>
    </row>
    <row r="69" spans="1:2">
      <c r="A69">
        <v>150.56620000000001</v>
      </c>
      <c r="B69" s="43">
        <v>43952</v>
      </c>
    </row>
    <row r="70" spans="1:2">
      <c r="A70">
        <v>157.05444</v>
      </c>
      <c r="B70" s="43">
        <v>43983</v>
      </c>
    </row>
    <row r="71" spans="1:2">
      <c r="A71">
        <v>139.32858999999999</v>
      </c>
      <c r="B71" s="43">
        <v>44013</v>
      </c>
    </row>
    <row r="72" spans="1:2">
      <c r="A72">
        <v>151.56138999999999</v>
      </c>
      <c r="B72" s="43">
        <v>44044</v>
      </c>
    </row>
    <row r="73" spans="1:2">
      <c r="A73">
        <v>148.61386999999999</v>
      </c>
      <c r="B73" s="43">
        <v>44075</v>
      </c>
    </row>
    <row r="74" spans="1:2">
      <c r="A74">
        <v>137.32167000000001</v>
      </c>
      <c r="B74" s="43">
        <v>44105</v>
      </c>
    </row>
    <row r="75" spans="1:2">
      <c r="A75">
        <v>119.78992</v>
      </c>
      <c r="B75" s="43">
        <v>44136</v>
      </c>
    </row>
    <row r="76" spans="1:2">
      <c r="A76">
        <v>115.38937</v>
      </c>
      <c r="B76" s="43">
        <v>44166</v>
      </c>
    </row>
    <row r="77" spans="1:2">
      <c r="A77">
        <v>147.77789999999999</v>
      </c>
      <c r="B77" s="43">
        <v>44197</v>
      </c>
    </row>
    <row r="78" spans="1:2">
      <c r="A78">
        <v>134.62800999999999</v>
      </c>
      <c r="B78" s="43">
        <v>44228</v>
      </c>
    </row>
    <row r="79" spans="1:2">
      <c r="A79">
        <v>136.14418000000001</v>
      </c>
      <c r="B79" s="43">
        <v>44256</v>
      </c>
    </row>
    <row r="80" spans="1:2">
      <c r="A80">
        <v>168.66379000000001</v>
      </c>
      <c r="B80" s="43">
        <v>44287</v>
      </c>
    </row>
    <row r="81" spans="1:2">
      <c r="A81">
        <v>170.78964999999999</v>
      </c>
      <c r="B81" s="43">
        <v>44317</v>
      </c>
    </row>
    <row r="82" spans="1:2">
      <c r="A82">
        <v>189.29571000000001</v>
      </c>
      <c r="B82" s="43">
        <v>44348</v>
      </c>
    </row>
    <row r="83" spans="1:2">
      <c r="A83">
        <v>129.40286</v>
      </c>
      <c r="B83" s="43">
        <v>44378</v>
      </c>
    </row>
    <row r="84" spans="1:2">
      <c r="A84">
        <v>119.08085</v>
      </c>
      <c r="B84" s="43">
        <v>44409</v>
      </c>
    </row>
    <row r="85" spans="1:2">
      <c r="A85">
        <v>142.67122000000001</v>
      </c>
      <c r="B85" s="43">
        <v>44440</v>
      </c>
    </row>
    <row r="86" spans="1:2">
      <c r="A86">
        <v>166.12744000000001</v>
      </c>
      <c r="B86" s="43">
        <v>44470</v>
      </c>
    </row>
    <row r="87" spans="1:2">
      <c r="A87">
        <v>121.34511000000001</v>
      </c>
      <c r="B87" s="43">
        <v>44501</v>
      </c>
    </row>
    <row r="88" spans="1:2">
      <c r="A88">
        <v>180.52153999999999</v>
      </c>
      <c r="B88" s="43">
        <v>44531</v>
      </c>
    </row>
    <row r="89" spans="1:2">
      <c r="A89">
        <v>113.97187</v>
      </c>
      <c r="B89" s="43">
        <v>44562</v>
      </c>
    </row>
    <row r="90" spans="1:2">
      <c r="A90">
        <v>97.288421999999997</v>
      </c>
      <c r="B90" s="43">
        <v>44593</v>
      </c>
    </row>
    <row r="91" spans="1:2">
      <c r="A91">
        <v>79.145497000000006</v>
      </c>
      <c r="B91" s="43">
        <v>44621</v>
      </c>
    </row>
    <row r="92" spans="1:2">
      <c r="A92">
        <v>133.94560999999999</v>
      </c>
      <c r="B92" s="43">
        <v>44652</v>
      </c>
    </row>
    <row r="93" spans="1:2">
      <c r="A93">
        <v>100.98802999999999</v>
      </c>
      <c r="B93" s="43">
        <v>44682</v>
      </c>
    </row>
    <row r="94" spans="1:2">
      <c r="A94">
        <v>137.84487999999999</v>
      </c>
      <c r="B94" s="43">
        <v>44713</v>
      </c>
    </row>
    <row r="95" spans="1:2">
      <c r="A95">
        <v>133.22925000000001</v>
      </c>
      <c r="B95" s="43">
        <v>44743</v>
      </c>
    </row>
    <row r="96" spans="1:2">
      <c r="A96">
        <v>124.12882999999999</v>
      </c>
      <c r="B96" s="43">
        <v>44774</v>
      </c>
    </row>
    <row r="97" spans="1:2">
      <c r="A97">
        <v>174.07017999999999</v>
      </c>
      <c r="B97" s="43">
        <v>44805</v>
      </c>
    </row>
    <row r="98" spans="1:2">
      <c r="A98">
        <v>135.63573</v>
      </c>
      <c r="B98" s="43">
        <v>44835</v>
      </c>
    </row>
    <row r="99" spans="1:2">
      <c r="A99">
        <v>138.23177000000001</v>
      </c>
      <c r="B99" s="43">
        <v>44866</v>
      </c>
    </row>
    <row r="100" spans="1:2">
      <c r="A100">
        <v>124.69035</v>
      </c>
      <c r="B100" s="43">
        <v>44896</v>
      </c>
    </row>
    <row r="101" spans="1:2">
      <c r="A101">
        <v>245.82411999999999</v>
      </c>
      <c r="B101" s="43">
        <v>44927</v>
      </c>
    </row>
    <row r="102" spans="1:2">
      <c r="A102">
        <v>252.02692999999999</v>
      </c>
      <c r="B102" s="43">
        <v>44958</v>
      </c>
    </row>
    <row r="103" spans="1:2">
      <c r="A103">
        <v>331.59257000000002</v>
      </c>
      <c r="B103" s="43">
        <v>44986</v>
      </c>
    </row>
    <row r="104" spans="1:2">
      <c r="A104">
        <v>335.14834999999999</v>
      </c>
      <c r="B104" s="43">
        <v>45017</v>
      </c>
    </row>
    <row r="105" spans="1:2">
      <c r="A105">
        <v>664.89278999999999</v>
      </c>
      <c r="B105" s="43">
        <v>45047</v>
      </c>
    </row>
    <row r="106" spans="1:2">
      <c r="A106">
        <v>796.85343</v>
      </c>
      <c r="B106" s="43">
        <v>45078</v>
      </c>
    </row>
    <row r="107" spans="1:2">
      <c r="A107">
        <v>687.01581999999996</v>
      </c>
      <c r="B107" s="43">
        <v>45108</v>
      </c>
    </row>
    <row r="108" spans="1:2">
      <c r="A108">
        <v>523.74955</v>
      </c>
      <c r="B108" s="43">
        <v>45139</v>
      </c>
    </row>
    <row r="109" spans="1:2">
      <c r="A109">
        <v>533.75009</v>
      </c>
      <c r="B109" s="43">
        <v>45170</v>
      </c>
    </row>
    <row r="110" spans="1:2">
      <c r="A110">
        <v>529.79393000000005</v>
      </c>
      <c r="B110" s="43">
        <v>45200</v>
      </c>
    </row>
    <row r="111" spans="1:2">
      <c r="A111">
        <v>481.99907999999999</v>
      </c>
      <c r="B111" s="43">
        <v>45231</v>
      </c>
    </row>
    <row r="112" spans="1:2">
      <c r="A112">
        <v>567.55506000000003</v>
      </c>
      <c r="B112" s="43">
        <v>45261</v>
      </c>
    </row>
    <row r="113" spans="1:2">
      <c r="A113">
        <v>873.32622000000003</v>
      </c>
      <c r="B113" s="43">
        <v>45292</v>
      </c>
    </row>
    <row r="114" spans="1:2">
      <c r="A114">
        <v>803.00967000000003</v>
      </c>
      <c r="B114" s="43">
        <v>45323</v>
      </c>
    </row>
    <row r="115" spans="1:2">
      <c r="A115">
        <v>928.80678999999998</v>
      </c>
      <c r="B115" s="43">
        <v>45352</v>
      </c>
    </row>
    <row r="116" spans="1:2">
      <c r="A116">
        <v>847.39072999999996</v>
      </c>
      <c r="B116" s="43">
        <v>45383</v>
      </c>
    </row>
    <row r="117" spans="1:2">
      <c r="A117">
        <v>740.47636999999997</v>
      </c>
      <c r="B117" s="43">
        <v>45413</v>
      </c>
    </row>
    <row r="118" spans="1:2">
      <c r="A118">
        <v>672.77076</v>
      </c>
      <c r="B118" s="43">
        <v>45444</v>
      </c>
    </row>
    <row r="119" spans="1:2">
      <c r="A119">
        <v>766.32483000000002</v>
      </c>
      <c r="B119" s="43">
        <v>45474</v>
      </c>
    </row>
    <row r="120" spans="1:2">
      <c r="A120">
        <v>744.13787000000002</v>
      </c>
      <c r="B120" s="43">
        <v>45505</v>
      </c>
    </row>
    <row r="121" spans="1:2">
      <c r="A121">
        <v>572.20410000000004</v>
      </c>
      <c r="B121" s="43">
        <v>45536</v>
      </c>
    </row>
    <row r="122" spans="1:2">
      <c r="A122">
        <v>713.22402999999997</v>
      </c>
      <c r="B122" s="43">
        <v>45566</v>
      </c>
    </row>
    <row r="123" spans="1:2">
      <c r="A123">
        <v>715.83479</v>
      </c>
      <c r="B123" s="43">
        <v>45597</v>
      </c>
    </row>
    <row r="124" spans="1:2">
      <c r="A124">
        <v>780.13742000000002</v>
      </c>
      <c r="B124" s="43">
        <v>45627</v>
      </c>
    </row>
    <row r="125" spans="1:2">
      <c r="A125">
        <v>1024.6567</v>
      </c>
      <c r="B125" s="43">
        <v>45658</v>
      </c>
    </row>
    <row r="126" spans="1:2">
      <c r="A126">
        <v>1078.2896000000001</v>
      </c>
      <c r="B126" s="43">
        <v>45689</v>
      </c>
    </row>
    <row r="127" spans="1:2">
      <c r="A127">
        <v>1085.5997</v>
      </c>
      <c r="B127" s="43">
        <v>45717</v>
      </c>
    </row>
    <row r="128" spans="1:2">
      <c r="A128">
        <v>970.77939000000003</v>
      </c>
      <c r="B128" s="43">
        <v>45748</v>
      </c>
    </row>
    <row r="129" spans="1:2">
      <c r="A129">
        <v>1159.4501</v>
      </c>
      <c r="B129" s="43">
        <v>45778</v>
      </c>
    </row>
    <row r="130" spans="1:2">
      <c r="A130">
        <v>1281.9579000000001</v>
      </c>
      <c r="B130" s="43">
        <v>45809</v>
      </c>
    </row>
    <row r="131" spans="1:2">
      <c r="A131">
        <v>1540.6397999999999</v>
      </c>
      <c r="B131" s="43">
        <v>45839</v>
      </c>
    </row>
    <row r="132" spans="1:2">
      <c r="A132">
        <v>1613.5743</v>
      </c>
      <c r="B132" s="43">
        <v>45870</v>
      </c>
    </row>
    <row r="133" spans="1:2">
      <c r="A133">
        <v>1467.5120999999999</v>
      </c>
      <c r="B133" s="43">
        <v>45901</v>
      </c>
    </row>
    <row r="134" spans="1:2">
      <c r="A134">
        <v>1719.8715</v>
      </c>
      <c r="B134" s="43">
        <v>45931</v>
      </c>
    </row>
    <row r="135" spans="1:2">
      <c r="A135">
        <v>1788.5712000000001</v>
      </c>
      <c r="B135" s="43">
        <v>45962</v>
      </c>
    </row>
    <row r="136" spans="1:2">
      <c r="A136">
        <v>2091.8181</v>
      </c>
      <c r="B136" s="43">
        <v>45992</v>
      </c>
    </row>
    <row r="137" spans="1:2">
      <c r="A137">
        <v>2258.7849999999999</v>
      </c>
      <c r="B137" s="43">
        <v>46023</v>
      </c>
    </row>
    <row r="139" spans="1:2">
      <c r="A139" s="44" t="s">
        <v>25</v>
      </c>
    </row>
    <row r="140" spans="1:2">
      <c r="A140" s="40" t="s">
        <v>26</v>
      </c>
    </row>
    <row r="142" spans="1:2">
      <c r="A142" s="48" t="s">
        <v>0</v>
      </c>
    </row>
  </sheetData>
  <hyperlinks>
    <hyperlink ref="A142" location="Contents!A1" display="Table of Contents" xr:uid="{8B63F769-C2AB-492D-868E-B7B16707319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41887-2373-4740-A9F9-9A22B1FE9538}">
  <dimension ref="A1:H19"/>
  <sheetViews>
    <sheetView workbookViewId="0">
      <selection activeCell="A15" sqref="A15"/>
    </sheetView>
  </sheetViews>
  <sheetFormatPr defaultRowHeight="14.45"/>
  <cols>
    <col min="1" max="1" width="37.28515625" customWidth="1"/>
    <col min="2" max="2" width="17.7109375" customWidth="1"/>
    <col min="3" max="3" width="18.28515625" customWidth="1"/>
    <col min="4" max="4" width="22.7109375" customWidth="1"/>
    <col min="5" max="5" width="22" customWidth="1"/>
    <col min="6" max="6" width="14.7109375" customWidth="1"/>
  </cols>
  <sheetData>
    <row r="1" spans="1:8">
      <c r="A1" s="38"/>
      <c r="B1" s="38"/>
      <c r="C1" s="38"/>
      <c r="D1" s="38"/>
      <c r="E1" s="38"/>
      <c r="F1" s="38"/>
      <c r="G1" s="38"/>
      <c r="H1" s="38"/>
    </row>
    <row r="2" spans="1:8" ht="15.4">
      <c r="A2" s="9" t="s">
        <v>8</v>
      </c>
      <c r="B2" s="8"/>
      <c r="C2" s="8"/>
      <c r="D2" s="8"/>
      <c r="E2" s="8"/>
      <c r="F2" s="8"/>
      <c r="G2" s="8"/>
      <c r="H2" s="38"/>
    </row>
    <row r="3" spans="1:8" ht="42.4">
      <c r="A3" s="10"/>
      <c r="B3" s="11" t="s">
        <v>27</v>
      </c>
      <c r="C3" s="11" t="s">
        <v>28</v>
      </c>
      <c r="D3" s="11" t="s">
        <v>29</v>
      </c>
      <c r="E3" s="11" t="s">
        <v>30</v>
      </c>
      <c r="F3" s="2" t="s">
        <v>31</v>
      </c>
      <c r="G3" s="8"/>
      <c r="H3" s="38"/>
    </row>
    <row r="4" spans="1:8">
      <c r="A4" s="12" t="s">
        <v>32</v>
      </c>
      <c r="B4" s="13">
        <v>71.253870000000006</v>
      </c>
      <c r="C4" s="13">
        <v>77.5</v>
      </c>
      <c r="D4" s="13">
        <v>59.302325581395401</v>
      </c>
      <c r="E4" s="49">
        <v>64.666749999999993</v>
      </c>
      <c r="F4" s="3">
        <f t="shared" ref="F4:F11" si="0">B4*$B$13+C4*$C$13+D4*$D$13+E4*$E$13</f>
        <v>68.573735587635866</v>
      </c>
      <c r="G4" s="8"/>
      <c r="H4" s="38"/>
    </row>
    <row r="5" spans="1:8">
      <c r="A5" s="12" t="s">
        <v>33</v>
      </c>
      <c r="B5" s="13">
        <v>35.019390000000001</v>
      </c>
      <c r="C5" s="13">
        <v>34</v>
      </c>
      <c r="D5" s="13">
        <v>12.790697674418601</v>
      </c>
      <c r="E5" s="49">
        <v>19.77835</v>
      </c>
      <c r="F5" s="3">
        <f t="shared" si="0"/>
        <v>26.661078766983696</v>
      </c>
      <c r="G5" s="8"/>
      <c r="H5" s="38"/>
    </row>
    <row r="6" spans="1:8">
      <c r="A6" s="12" t="s">
        <v>34</v>
      </c>
      <c r="B6" s="13">
        <v>33.21537</v>
      </c>
      <c r="C6" s="13">
        <v>36.9</v>
      </c>
      <c r="D6" s="13">
        <v>22.093023255814</v>
      </c>
      <c r="E6" s="49">
        <v>21.27957</v>
      </c>
      <c r="F6" s="3">
        <f t="shared" si="0"/>
        <v>28.098078868885874</v>
      </c>
      <c r="G6" s="8"/>
      <c r="H6" s="38"/>
    </row>
    <row r="7" spans="1:8">
      <c r="A7" s="12" t="s">
        <v>35</v>
      </c>
      <c r="B7" s="13">
        <v>29.011780000000002</v>
      </c>
      <c r="C7" s="13">
        <v>32.5</v>
      </c>
      <c r="D7" s="13">
        <v>20.099667774086399</v>
      </c>
      <c r="E7" s="49">
        <v>29.509550000000001</v>
      </c>
      <c r="F7" s="3">
        <f t="shared" si="0"/>
        <v>28.904895254755438</v>
      </c>
      <c r="G7" s="8"/>
      <c r="H7" s="38"/>
    </row>
    <row r="8" spans="1:8">
      <c r="A8" s="12" t="s">
        <v>36</v>
      </c>
      <c r="B8" s="13">
        <v>33.481380000000001</v>
      </c>
      <c r="C8" s="13">
        <v>53.5</v>
      </c>
      <c r="D8" s="13">
        <v>30.066445182724301</v>
      </c>
      <c r="E8" s="49">
        <v>45.977400000000003</v>
      </c>
      <c r="F8" s="3">
        <f t="shared" si="0"/>
        <v>41.483985760869572</v>
      </c>
      <c r="G8" s="8"/>
      <c r="H8" s="38"/>
    </row>
    <row r="9" spans="1:8">
      <c r="A9" s="12" t="s">
        <v>37</v>
      </c>
      <c r="B9" s="13">
        <v>24.51033</v>
      </c>
      <c r="C9" s="13">
        <v>26.7</v>
      </c>
      <c r="D9" s="13">
        <v>11.7940199335548</v>
      </c>
      <c r="E9" s="49">
        <v>14.50985</v>
      </c>
      <c r="F9" s="3">
        <f t="shared" si="0"/>
        <v>19.718112849864127</v>
      </c>
      <c r="G9" s="8"/>
      <c r="H9" s="38"/>
    </row>
    <row r="10" spans="1:8">
      <c r="A10" s="12" t="s">
        <v>38</v>
      </c>
      <c r="B10" s="13">
        <v>13.64889</v>
      </c>
      <c r="C10" s="13">
        <v>13</v>
      </c>
      <c r="D10" s="13">
        <v>7.4750830564784101</v>
      </c>
      <c r="E10" s="49">
        <v>3.8582040000000002</v>
      </c>
      <c r="F10" s="3">
        <f t="shared" si="0"/>
        <v>9.1093805380434798</v>
      </c>
      <c r="G10" s="8"/>
      <c r="H10" s="38"/>
    </row>
    <row r="11" spans="1:8">
      <c r="A11" s="12" t="s">
        <v>39</v>
      </c>
      <c r="B11" s="13">
        <v>2.9919630000000002</v>
      </c>
      <c r="C11" s="13">
        <v>4.5</v>
      </c>
      <c r="D11" s="13">
        <v>6.6445182724252501</v>
      </c>
      <c r="E11" s="49">
        <v>2.6383839999999998</v>
      </c>
      <c r="F11" s="3">
        <f t="shared" si="0"/>
        <v>3.4926873851902176</v>
      </c>
      <c r="G11" s="8"/>
      <c r="H11" s="38"/>
    </row>
    <row r="12" spans="1:8">
      <c r="A12" s="15" t="s">
        <v>40</v>
      </c>
      <c r="B12" s="13">
        <v>1972</v>
      </c>
      <c r="C12" s="13">
        <v>1032</v>
      </c>
      <c r="D12" s="13">
        <v>602</v>
      </c>
      <c r="E12" s="13">
        <v>2282</v>
      </c>
      <c r="F12" s="3">
        <f>SUM(B12:E12)</f>
        <v>5888</v>
      </c>
      <c r="G12" s="8"/>
      <c r="H12" s="38"/>
    </row>
    <row r="13" spans="1:8">
      <c r="A13" s="15" t="s">
        <v>41</v>
      </c>
      <c r="B13" s="16">
        <f>B12/SUM($B$12:$E$12)</f>
        <v>0.33491847826086957</v>
      </c>
      <c r="C13" s="16">
        <f>C12/SUM($B$12:$E$12)</f>
        <v>0.17527173913043478</v>
      </c>
      <c r="D13" s="16">
        <f>D12/SUM($B$12:$E$12)</f>
        <v>0.10224184782608696</v>
      </c>
      <c r="E13" s="16">
        <f>E12/SUM($B$12:$E$12)</f>
        <v>0.3875679347826087</v>
      </c>
      <c r="F13" s="3">
        <f>SUM(B13:E13)</f>
        <v>1</v>
      </c>
      <c r="G13" s="8"/>
      <c r="H13" s="38"/>
    </row>
    <row r="14" spans="1:8">
      <c r="A14" s="8"/>
      <c r="B14" s="8"/>
      <c r="C14" s="8"/>
      <c r="D14" s="8"/>
      <c r="E14" s="8"/>
      <c r="F14" s="8"/>
      <c r="G14" s="8"/>
      <c r="H14" s="38"/>
    </row>
    <row r="15" spans="1:8">
      <c r="A15" s="17" t="s">
        <v>42</v>
      </c>
      <c r="B15" s="8"/>
      <c r="C15" s="8"/>
      <c r="D15" s="8"/>
      <c r="E15" s="8"/>
      <c r="F15" s="8"/>
      <c r="G15" s="8"/>
      <c r="H15" s="38"/>
    </row>
    <row r="16" spans="1:8">
      <c r="A16" s="29" t="s">
        <v>43</v>
      </c>
      <c r="B16" s="38"/>
      <c r="C16" s="38"/>
      <c r="D16" s="38"/>
      <c r="E16" s="38"/>
      <c r="F16" s="38"/>
      <c r="G16" s="38"/>
      <c r="H16" s="38"/>
    </row>
    <row r="17" spans="1:8">
      <c r="A17" s="38"/>
      <c r="B17" s="38"/>
      <c r="C17" s="38"/>
      <c r="D17" s="38"/>
      <c r="E17" s="38"/>
      <c r="F17" s="38"/>
      <c r="G17" s="38"/>
      <c r="H17" s="38"/>
    </row>
    <row r="18" spans="1:8">
      <c r="A18" s="48" t="s">
        <v>0</v>
      </c>
      <c r="B18" s="38"/>
      <c r="C18" s="38"/>
      <c r="D18" s="38"/>
      <c r="E18" s="38"/>
      <c r="F18" s="38"/>
      <c r="G18" s="38"/>
      <c r="H18" s="38"/>
    </row>
    <row r="19" spans="1:8">
      <c r="A19" s="38"/>
      <c r="B19" s="38"/>
      <c r="C19" s="38"/>
      <c r="D19" s="38"/>
      <c r="E19" s="38"/>
      <c r="F19" s="38"/>
      <c r="G19" s="38"/>
      <c r="H19" s="38"/>
    </row>
  </sheetData>
  <hyperlinks>
    <hyperlink ref="A18" location="Contents!A1" display="Table of Contents" xr:uid="{6C6C6C79-CF9C-4FEB-AB19-418636E6CCB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0013-5DC0-4865-8DB2-A0810F4C45DF}">
  <dimension ref="A2:F16"/>
  <sheetViews>
    <sheetView workbookViewId="0">
      <selection activeCell="A13" sqref="A13"/>
    </sheetView>
  </sheetViews>
  <sheetFormatPr defaultRowHeight="14.45"/>
  <cols>
    <col min="1" max="1" width="40.28515625" customWidth="1"/>
    <col min="2" max="2" width="15.28515625" customWidth="1"/>
    <col min="3" max="3" width="17.28515625" customWidth="1"/>
    <col min="4" max="4" width="19.28515625" customWidth="1"/>
    <col min="5" max="5" width="19.140625" customWidth="1"/>
    <col min="6" max="6" width="13.5703125" customWidth="1"/>
  </cols>
  <sheetData>
    <row r="2" spans="1:6" ht="15.4">
      <c r="A2" s="9" t="s">
        <v>10</v>
      </c>
      <c r="B2" s="8"/>
      <c r="C2" s="8"/>
      <c r="D2" s="8"/>
      <c r="E2" s="8"/>
      <c r="F2" s="8"/>
    </row>
    <row r="3" spans="1:6" ht="56.45">
      <c r="A3" s="10"/>
      <c r="B3" s="11" t="s">
        <v>27</v>
      </c>
      <c r="C3" s="11" t="s">
        <v>28</v>
      </c>
      <c r="D3" s="11" t="s">
        <v>29</v>
      </c>
      <c r="E3" s="11" t="s">
        <v>30</v>
      </c>
      <c r="F3" s="2" t="s">
        <v>31</v>
      </c>
    </row>
    <row r="4" spans="1:6">
      <c r="A4" s="12" t="s">
        <v>44</v>
      </c>
      <c r="B4" s="13">
        <v>25.44</v>
      </c>
      <c r="C4" s="13">
        <v>27.8</v>
      </c>
      <c r="D4" s="13">
        <v>33.720930232558104</v>
      </c>
      <c r="E4" s="13">
        <v>29.21</v>
      </c>
      <c r="F4" s="3">
        <f>B4*$B$9+C4*$C$9+D4*$D$9+E4*$E$9</f>
        <v>28.216037706450606</v>
      </c>
    </row>
    <row r="5" spans="1:6">
      <c r="A5" s="12" t="s">
        <v>45</v>
      </c>
      <c r="B5" s="13">
        <v>44.9</v>
      </c>
      <c r="C5" s="13">
        <v>35</v>
      </c>
      <c r="D5" s="13">
        <v>35.714285714285701</v>
      </c>
      <c r="E5" s="13">
        <v>41.02</v>
      </c>
      <c r="F5" s="3">
        <f>B5*$B$9+C5*$C$9+D5*$D$9+E5*$E$9</f>
        <v>40.718884387659706</v>
      </c>
    </row>
    <row r="6" spans="1:6">
      <c r="A6" s="12" t="s">
        <v>46</v>
      </c>
      <c r="B6" s="13">
        <v>23.19</v>
      </c>
      <c r="C6" s="13">
        <v>28.6</v>
      </c>
      <c r="D6" s="13">
        <v>22.093023255814</v>
      </c>
      <c r="E6" s="13">
        <v>22.58</v>
      </c>
      <c r="F6" s="3">
        <f>B6*$B$9+C6*$C$9+D6*$D$9+E6*$E$9</f>
        <v>23.741855718292307</v>
      </c>
    </row>
    <row r="7" spans="1:6">
      <c r="A7" s="12" t="s">
        <v>47</v>
      </c>
      <c r="B7" s="13">
        <v>6.47</v>
      </c>
      <c r="C7" s="13">
        <v>8.6999999999999993</v>
      </c>
      <c r="D7" s="13">
        <v>8.4717607973421902</v>
      </c>
      <c r="E7" s="13">
        <v>7.2</v>
      </c>
      <c r="F7" s="3">
        <f>B7*$B$9+C7*$C$9+D7*$D$9+E7*$E$9</f>
        <v>7.3443580554689927</v>
      </c>
    </row>
    <row r="8" spans="1:6">
      <c r="A8" s="15" t="s">
        <v>40</v>
      </c>
      <c r="B8" s="13">
        <v>2007</v>
      </c>
      <c r="C8" s="8">
        <v>1084</v>
      </c>
      <c r="D8" s="8">
        <v>602</v>
      </c>
      <c r="E8" s="13">
        <v>2725</v>
      </c>
      <c r="F8" s="3">
        <f>SUM(B8:E8)</f>
        <v>6418</v>
      </c>
    </row>
    <row r="9" spans="1:6">
      <c r="A9" s="15" t="s">
        <v>41</v>
      </c>
      <c r="B9" s="16">
        <f>B8/SUM($B$8:$E$8)</f>
        <v>0.31271424119663449</v>
      </c>
      <c r="C9" s="16">
        <f>C8/SUM($B$8:$E$8)</f>
        <v>0.16889996883764413</v>
      </c>
      <c r="D9" s="16">
        <f>D8/SUM($B$8:$E$8)</f>
        <v>9.3798691181053287E-2</v>
      </c>
      <c r="E9" s="16">
        <f>E8/SUM($B$8:$E$8)</f>
        <v>0.4245870987846681</v>
      </c>
      <c r="F9" s="3">
        <f>SUM(B9:E9)</f>
        <v>1</v>
      </c>
    </row>
    <row r="10" spans="1:6">
      <c r="A10" s="12"/>
      <c r="B10" s="8"/>
      <c r="C10" s="8"/>
      <c r="D10" s="8"/>
      <c r="E10" s="8"/>
      <c r="F10" s="5"/>
    </row>
    <row r="11" spans="1:6">
      <c r="A11" s="18" t="s">
        <v>48</v>
      </c>
      <c r="B11" s="19">
        <f>(0*B4+0.5*B5+3*B6+7.5*B7)/100</f>
        <v>1.4054500000000001</v>
      </c>
      <c r="C11" s="19">
        <f>(0*C4+0.5*C5+3*C6+7.5*C7)/100</f>
        <v>1.6855000000000002</v>
      </c>
      <c r="D11" s="19">
        <f>(0*D4+0.5*D5+3*D6+7.5*D7)/100</f>
        <v>1.4767441860465127</v>
      </c>
      <c r="E11" s="19">
        <f>(0*E4+0.5*E5+3*E6+7.5*E7)/100</f>
        <v>1.4225000000000001</v>
      </c>
      <c r="F11" s="6">
        <f>B11*B9+C11*C9+D11*D9+E11*E9</f>
        <v>1.4666769476472425</v>
      </c>
    </row>
    <row r="12" spans="1:6">
      <c r="A12" s="8"/>
      <c r="B12" s="8"/>
      <c r="C12" s="8"/>
      <c r="D12" s="8"/>
      <c r="E12" s="8"/>
      <c r="F12" s="8"/>
    </row>
    <row r="13" spans="1:6">
      <c r="A13" s="20" t="s">
        <v>49</v>
      </c>
      <c r="B13" s="8"/>
      <c r="C13" s="8"/>
      <c r="D13" s="8"/>
      <c r="E13" s="8"/>
      <c r="F13" s="8"/>
    </row>
    <row r="14" spans="1:6" s="38" customFormat="1">
      <c r="A14" s="40" t="s">
        <v>26</v>
      </c>
    </row>
    <row r="16" spans="1:6">
      <c r="A16" s="48" t="s">
        <v>0</v>
      </c>
    </row>
  </sheetData>
  <hyperlinks>
    <hyperlink ref="A16" location="Contents!A1" display="Table of Contents" xr:uid="{7F0095B1-0044-4A5E-8DC6-4E67E29C52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FF47-31E4-40F0-8AD4-1D4997161AEF}">
  <dimension ref="A1:F17"/>
  <sheetViews>
    <sheetView workbookViewId="0">
      <selection activeCell="E19" sqref="E19"/>
    </sheetView>
  </sheetViews>
  <sheetFormatPr defaultRowHeight="14.45"/>
  <cols>
    <col min="1" max="1" width="57.7109375" customWidth="1"/>
    <col min="2" max="2" width="17.5703125" customWidth="1"/>
    <col min="3" max="3" width="19.28515625" customWidth="1"/>
    <col min="4" max="4" width="17.85546875" customWidth="1"/>
    <col min="5" max="5" width="22.5703125" customWidth="1"/>
    <col min="6" max="6" width="15" customWidth="1"/>
  </cols>
  <sheetData>
    <row r="1" spans="1:6">
      <c r="A1" s="8"/>
      <c r="B1" s="8"/>
      <c r="C1" s="8"/>
      <c r="D1" s="8"/>
      <c r="E1" s="8"/>
      <c r="F1" s="8"/>
    </row>
    <row r="2" spans="1:6" ht="15.4">
      <c r="A2" s="9" t="s">
        <v>12</v>
      </c>
      <c r="B2" s="8"/>
      <c r="C2" s="8"/>
      <c r="D2" s="8"/>
      <c r="E2" s="8"/>
      <c r="F2" s="8"/>
    </row>
    <row r="3" spans="1:6" ht="42.4">
      <c r="A3" s="10"/>
      <c r="B3" s="11" t="s">
        <v>27</v>
      </c>
      <c r="C3" s="11" t="s">
        <v>28</v>
      </c>
      <c r="D3" s="11" t="s">
        <v>29</v>
      </c>
      <c r="E3" s="11" t="s">
        <v>30</v>
      </c>
      <c r="F3" s="2" t="s">
        <v>31</v>
      </c>
    </row>
    <row r="4" spans="1:6">
      <c r="A4" s="8" t="s">
        <v>50</v>
      </c>
      <c r="B4" s="21">
        <v>1.2</v>
      </c>
      <c r="C4" s="13">
        <v>1.6</v>
      </c>
      <c r="D4" s="13">
        <v>0.66449999999999998</v>
      </c>
      <c r="E4" s="13">
        <v>0.46</v>
      </c>
      <c r="F4" s="4">
        <f>B4*$B$10+C4*$C$10+D4*$D$10+E4*$E$10</f>
        <v>0.92685780765253378</v>
      </c>
    </row>
    <row r="5" spans="1:6">
      <c r="A5" s="8" t="s">
        <v>51</v>
      </c>
      <c r="B5" s="22">
        <v>6.57</v>
      </c>
      <c r="C5" s="13">
        <v>4.8</v>
      </c>
      <c r="D5" s="13">
        <v>4.9833999999999996</v>
      </c>
      <c r="E5" s="13">
        <v>1.47</v>
      </c>
      <c r="F5" s="3">
        <f>B5*$B$10+C5*$C$10+D5*$D$10+E5*$E$10</f>
        <v>4.1349960013788349</v>
      </c>
    </row>
    <row r="6" spans="1:6">
      <c r="A6" s="8" t="s">
        <v>52</v>
      </c>
      <c r="B6" s="22">
        <v>88.89</v>
      </c>
      <c r="C6" s="13">
        <v>89.2</v>
      </c>
      <c r="D6" s="13">
        <v>81.395300000000006</v>
      </c>
      <c r="E6" s="13">
        <v>95</v>
      </c>
      <c r="F6" s="3">
        <f>B6*$B$10+C6*$C$10+D6*$D$10+E6*$E$10</f>
        <v>90.524069389865559</v>
      </c>
    </row>
    <row r="7" spans="1:6">
      <c r="A7" s="8" t="s">
        <v>53</v>
      </c>
      <c r="B7" s="22">
        <v>2.79</v>
      </c>
      <c r="C7" s="13">
        <v>3.7</v>
      </c>
      <c r="D7" s="13">
        <v>9.4684000000000008</v>
      </c>
      <c r="E7" s="13">
        <v>1.7</v>
      </c>
      <c r="F7" s="3">
        <f>B7*$B$10+C7*$C$10+D7*$D$10+E7*$E$10</f>
        <v>3.217072871423647</v>
      </c>
    </row>
    <row r="8" spans="1:6">
      <c r="A8" s="8" t="s">
        <v>54</v>
      </c>
      <c r="B8" s="22">
        <v>0.54</v>
      </c>
      <c r="C8" s="13">
        <v>0.8</v>
      </c>
      <c r="D8" s="13">
        <v>3.4883999999999999</v>
      </c>
      <c r="E8" s="13">
        <v>1.37</v>
      </c>
      <c r="F8" s="3">
        <f>B8*$B$10+C8*$C$10+D8*$D$10+E8*$E$10</f>
        <v>1.2106337125129265</v>
      </c>
    </row>
    <row r="9" spans="1:6">
      <c r="A9" s="23" t="s">
        <v>40</v>
      </c>
      <c r="B9" s="24">
        <v>1972</v>
      </c>
      <c r="C9" s="8">
        <v>988</v>
      </c>
      <c r="D9" s="8">
        <v>602</v>
      </c>
      <c r="E9" s="13">
        <v>2240</v>
      </c>
      <c r="F9" s="3">
        <f>SUM(B9:E9)</f>
        <v>5802</v>
      </c>
    </row>
    <row r="10" spans="1:6">
      <c r="A10" s="23" t="s">
        <v>41</v>
      </c>
      <c r="B10" s="25">
        <f>B9/SUM($B$9:$E$9)</f>
        <v>0.33988279903481561</v>
      </c>
      <c r="C10" s="16">
        <f>C9/SUM($B$9:$E$9)</f>
        <v>0.17028610823853843</v>
      </c>
      <c r="D10" s="16">
        <f>D9/SUM($B$9:$E$9)</f>
        <v>0.10375732506032402</v>
      </c>
      <c r="E10" s="16">
        <f>E9/SUM($B$9:$E$9)</f>
        <v>0.38607376766632195</v>
      </c>
      <c r="F10" s="3">
        <f>SUM(B10:E10)</f>
        <v>1</v>
      </c>
    </row>
    <row r="11" spans="1:6">
      <c r="A11" s="8"/>
      <c r="B11" s="24"/>
      <c r="C11" s="8"/>
      <c r="D11" s="8"/>
      <c r="E11" s="8"/>
      <c r="F11" s="5"/>
    </row>
    <row r="12" spans="1:6">
      <c r="A12" s="26" t="s">
        <v>55</v>
      </c>
      <c r="B12" s="27">
        <f>((-7.5*B4-2.5*B5+0*B6+2.5*B7+7.5*B8)/100)</f>
        <v>-0.14400000000000002</v>
      </c>
      <c r="C12" s="28">
        <f>((-7.5*C4-2.5*C5+0*C6+2.5*C7+7.5*C8)/100)</f>
        <v>-8.7499999999999994E-2</v>
      </c>
      <c r="D12" s="28">
        <f>((-7.5*D4-2.5*D5+0*D6+2.5*D7+7.5*D8)/100)</f>
        <v>0.32391750000000002</v>
      </c>
      <c r="E12" s="28">
        <f>((-7.5*E4-2.5*E5+0*E6+2.5*E7+7.5*E8)/100)</f>
        <v>7.400000000000001E-2</v>
      </c>
      <c r="F12" s="7">
        <f>B12*B10+C12*C10+D12*D10+E12*E10</f>
        <v>-1.6648853843502405E-3</v>
      </c>
    </row>
    <row r="13" spans="1:6">
      <c r="A13" s="8"/>
      <c r="B13" s="8"/>
      <c r="C13" s="8"/>
      <c r="D13" s="8"/>
      <c r="E13" s="8"/>
      <c r="F13" s="8"/>
    </row>
    <row r="14" spans="1:6">
      <c r="A14" s="17" t="s">
        <v>56</v>
      </c>
      <c r="B14" s="8"/>
      <c r="C14" s="8"/>
      <c r="D14" s="8"/>
      <c r="E14" s="8"/>
      <c r="F14" s="8"/>
    </row>
    <row r="15" spans="1:6">
      <c r="A15" s="40" t="s">
        <v>26</v>
      </c>
      <c r="B15" s="8"/>
      <c r="C15" s="8"/>
      <c r="D15" s="8"/>
      <c r="E15" s="8"/>
      <c r="F15" s="8"/>
    </row>
    <row r="16" spans="1:6">
      <c r="A16" s="8"/>
      <c r="B16" s="8"/>
      <c r="C16" s="8"/>
      <c r="D16" s="8"/>
      <c r="E16" s="8"/>
      <c r="F16" s="8"/>
    </row>
    <row r="17" spans="1:1">
      <c r="A17" s="48" t="s">
        <v>0</v>
      </c>
    </row>
  </sheetData>
  <hyperlinks>
    <hyperlink ref="A17" location="Contents!A1" display="Table of Contents" xr:uid="{C2D0FFCC-5235-4EE3-B67E-5DDA31AD1D2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9C478-D71A-4296-938B-7542C7A2B4DF}">
  <dimension ref="A2:F17"/>
  <sheetViews>
    <sheetView workbookViewId="0">
      <selection activeCell="E25" sqref="E25"/>
    </sheetView>
  </sheetViews>
  <sheetFormatPr defaultRowHeight="14.45"/>
  <cols>
    <col min="1" max="1" width="55" customWidth="1"/>
    <col min="2" max="2" width="14.42578125" customWidth="1"/>
    <col min="3" max="3" width="20.140625" customWidth="1"/>
    <col min="4" max="4" width="23.140625" customWidth="1"/>
    <col min="5" max="5" width="24.42578125" customWidth="1"/>
    <col min="6" max="6" width="14" customWidth="1"/>
  </cols>
  <sheetData>
    <row r="2" spans="1:6" ht="15.4">
      <c r="A2" s="9" t="s">
        <v>14</v>
      </c>
      <c r="B2" s="8"/>
      <c r="C2" s="8"/>
      <c r="D2" s="8"/>
      <c r="E2" s="8"/>
      <c r="F2" s="8"/>
    </row>
    <row r="3" spans="1:6" ht="42.4">
      <c r="A3" s="10"/>
      <c r="B3" s="11" t="s">
        <v>27</v>
      </c>
      <c r="C3" s="11" t="s">
        <v>28</v>
      </c>
      <c r="D3" s="11" t="s">
        <v>29</v>
      </c>
      <c r="E3" s="11" t="s">
        <v>30</v>
      </c>
      <c r="F3" s="2" t="s">
        <v>31</v>
      </c>
    </row>
    <row r="4" spans="1:6">
      <c r="A4" s="12" t="s">
        <v>50</v>
      </c>
      <c r="B4" s="13">
        <v>13.66</v>
      </c>
      <c r="C4" s="13">
        <v>12.1</v>
      </c>
      <c r="D4" s="13">
        <v>5.3155999999999999</v>
      </c>
      <c r="E4" s="13">
        <v>3.19</v>
      </c>
      <c r="F4" s="3">
        <f>B4*$B$10+C4*$C$10+D4*$D$10+E4*$E$10</f>
        <v>8.4550955722070835</v>
      </c>
    </row>
    <row r="5" spans="1:6">
      <c r="A5" s="12" t="s">
        <v>51</v>
      </c>
      <c r="B5" s="13">
        <v>27.14</v>
      </c>
      <c r="C5" s="13">
        <v>31.1</v>
      </c>
      <c r="D5" s="13">
        <v>11.2957</v>
      </c>
      <c r="E5" s="13">
        <v>6.98</v>
      </c>
      <c r="F5" s="3">
        <f>B5*$B$10+C5*$C$10+D5*$D$10+E5*$E$10</f>
        <v>18.337399761580382</v>
      </c>
    </row>
    <row r="6" spans="1:6">
      <c r="A6" s="12" t="s">
        <v>52</v>
      </c>
      <c r="B6" s="13">
        <v>50.69</v>
      </c>
      <c r="C6" s="13">
        <v>41.9</v>
      </c>
      <c r="D6" s="13">
        <v>66.9435</v>
      </c>
      <c r="E6" s="13">
        <v>80.95</v>
      </c>
      <c r="F6" s="3">
        <f>B6*$B$10+C6*$C$10+D6*$D$10+E6*$E$10</f>
        <v>62.641743358310627</v>
      </c>
    </row>
    <row r="7" spans="1:6">
      <c r="A7" s="12" t="s">
        <v>53</v>
      </c>
      <c r="B7" s="13">
        <v>5.95</v>
      </c>
      <c r="C7" s="13">
        <v>12.4</v>
      </c>
      <c r="D7" s="13">
        <v>10.132899999999999</v>
      </c>
      <c r="E7" s="13">
        <v>6.29</v>
      </c>
      <c r="F7" s="3">
        <f>B7*$B$10+C7*$C$10+D7*$D$10+E7*$E$10</f>
        <v>7.6196893392370564</v>
      </c>
    </row>
    <row r="8" spans="1:6">
      <c r="A8" s="12" t="s">
        <v>54</v>
      </c>
      <c r="B8" s="13">
        <v>2.56</v>
      </c>
      <c r="C8" s="13">
        <v>2.5</v>
      </c>
      <c r="D8" s="13">
        <v>6.3122999999999996</v>
      </c>
      <c r="E8" s="13">
        <v>2.58</v>
      </c>
      <c r="F8" s="3">
        <f>B8*$B$10+C8*$C$10+D8*$D$10+E8*$E$10</f>
        <v>2.9421738079019075</v>
      </c>
    </row>
    <row r="9" spans="1:6">
      <c r="A9" s="15" t="s">
        <v>40</v>
      </c>
      <c r="B9" s="8">
        <v>1972</v>
      </c>
      <c r="C9" s="8">
        <v>1009</v>
      </c>
      <c r="D9" s="8">
        <v>602</v>
      </c>
      <c r="E9" s="13">
        <v>2289</v>
      </c>
      <c r="F9" s="3">
        <f>SUM(B9:E9)</f>
        <v>5872</v>
      </c>
    </row>
    <row r="10" spans="1:6">
      <c r="A10" s="15" t="s">
        <v>41</v>
      </c>
      <c r="B10" s="16">
        <f>B9/SUM($B$9:$E$9)</f>
        <v>0.33583106267029972</v>
      </c>
      <c r="C10" s="16">
        <f>C9/SUM($B$9:$E$9)</f>
        <v>0.17183242506811988</v>
      </c>
      <c r="D10" s="16">
        <f>D9/SUM($B$9:$E$9)</f>
        <v>0.10252043596730245</v>
      </c>
      <c r="E10" s="16">
        <f>E9/SUM($B$9:$E$9)</f>
        <v>0.38981607629427795</v>
      </c>
      <c r="F10" s="3">
        <f>SUM(B10:E10)</f>
        <v>1</v>
      </c>
    </row>
    <row r="11" spans="1:6">
      <c r="A11" s="12"/>
      <c r="B11" s="8"/>
      <c r="C11" s="8"/>
      <c r="D11" s="8"/>
      <c r="E11" s="8"/>
      <c r="F11" s="5"/>
    </row>
    <row r="12" spans="1:6">
      <c r="A12" s="18" t="s">
        <v>57</v>
      </c>
      <c r="B12" s="27">
        <f>((-7.5*B4-2.5*B5+0*B6+2.5*B7+7.5*B8)/100)</f>
        <v>-1.3622500000000002</v>
      </c>
      <c r="C12" s="28">
        <f>((-7.5*C4-2.5*C5+0*C6+2.5*C7+7.5*C8)/100)</f>
        <v>-1.1875</v>
      </c>
      <c r="D12" s="28">
        <f>((-7.5*D4-2.5*D5+0*D6+2.5*D7+7.5*D8)/100)</f>
        <v>4.5682500000000133E-2</v>
      </c>
      <c r="E12" s="28">
        <f>((-7.5*E4-2.5*E5+0*E6+2.5*E7+7.5*E8)/100)</f>
        <v>-6.2999999999999973E-2</v>
      </c>
      <c r="F12" s="7">
        <f>B12*B10+C12*C10+D12*D10+E12*E10</f>
        <v>-0.68141189288147141</v>
      </c>
    </row>
    <row r="13" spans="1:6">
      <c r="A13" s="8"/>
      <c r="B13" s="8"/>
      <c r="C13" s="8"/>
      <c r="D13" s="8"/>
      <c r="E13" s="8"/>
      <c r="F13" s="8"/>
    </row>
    <row r="14" spans="1:6">
      <c r="A14" s="17" t="s">
        <v>58</v>
      </c>
      <c r="B14" s="8"/>
      <c r="C14" s="8"/>
      <c r="D14" s="8"/>
      <c r="E14" s="8"/>
      <c r="F14" s="8"/>
    </row>
    <row r="15" spans="1:6">
      <c r="A15" s="40" t="s">
        <v>26</v>
      </c>
    </row>
    <row r="17" spans="1:1">
      <c r="A17" s="48" t="s">
        <v>0</v>
      </c>
    </row>
  </sheetData>
  <hyperlinks>
    <hyperlink ref="A17" location="Contents!A1" display="Table of Contents" xr:uid="{E43E0634-2F2A-44C6-91A8-03DE8B5B285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4F337-3594-4E06-B3F4-B51128F6ED78}">
  <dimension ref="A2:F17"/>
  <sheetViews>
    <sheetView workbookViewId="0">
      <selection activeCell="D19" sqref="D19"/>
    </sheetView>
  </sheetViews>
  <sheetFormatPr defaultRowHeight="14.45"/>
  <cols>
    <col min="1" max="1" width="54.42578125" customWidth="1"/>
    <col min="2" max="2" width="16" customWidth="1"/>
    <col min="3" max="3" width="20.140625" customWidth="1"/>
    <col min="4" max="4" width="19" customWidth="1"/>
    <col min="5" max="5" width="18.140625" customWidth="1"/>
    <col min="6" max="6" width="13.85546875" customWidth="1"/>
  </cols>
  <sheetData>
    <row r="2" spans="1:6" ht="15.4">
      <c r="A2" s="9" t="s">
        <v>16</v>
      </c>
      <c r="B2" s="8"/>
      <c r="C2" s="8"/>
      <c r="D2" s="8"/>
      <c r="E2" s="8"/>
      <c r="F2" s="8"/>
    </row>
    <row r="3" spans="1:6" ht="56.45">
      <c r="A3" s="10"/>
      <c r="B3" s="11" t="s">
        <v>27</v>
      </c>
      <c r="C3" s="11" t="s">
        <v>28</v>
      </c>
      <c r="D3" s="11" t="s">
        <v>29</v>
      </c>
      <c r="E3" s="11" t="s">
        <v>30</v>
      </c>
      <c r="F3" s="2" t="s">
        <v>31</v>
      </c>
    </row>
    <row r="4" spans="1:6">
      <c r="A4" s="8" t="s">
        <v>59</v>
      </c>
      <c r="B4" s="21">
        <v>0.16</v>
      </c>
      <c r="C4" s="13">
        <v>0</v>
      </c>
      <c r="D4" s="13">
        <v>0.3322</v>
      </c>
      <c r="E4" s="13">
        <v>0.37</v>
      </c>
      <c r="F4" s="3">
        <f>B4*$B$10+C4*$C$10+D4*$D$10+E4*$E$10</f>
        <v>0.23195843798382934</v>
      </c>
    </row>
    <row r="5" spans="1:6">
      <c r="A5" s="8" t="s">
        <v>60</v>
      </c>
      <c r="B5" s="22">
        <v>0.71</v>
      </c>
      <c r="C5" s="13">
        <v>0.5</v>
      </c>
      <c r="D5" s="13">
        <v>3.1560999999999999</v>
      </c>
      <c r="E5" s="13">
        <v>0.43</v>
      </c>
      <c r="F5" s="3">
        <f>B5*$B$10+C5*$C$10+D5*$D$10+E5*$E$10</f>
        <v>0.81920216755547903</v>
      </c>
    </row>
    <row r="6" spans="1:6">
      <c r="A6" s="8" t="s">
        <v>52</v>
      </c>
      <c r="B6" s="22">
        <v>89.32</v>
      </c>
      <c r="C6" s="13">
        <v>91.4</v>
      </c>
      <c r="D6" s="13">
        <v>79.235900000000001</v>
      </c>
      <c r="E6" s="13">
        <v>91.34</v>
      </c>
      <c r="F6" s="3">
        <f>B6*$B$10+C6*$C$10+D6*$D$10+E6*$E$10</f>
        <v>89.411421262687085</v>
      </c>
    </row>
    <row r="7" spans="1:6">
      <c r="A7" s="8" t="s">
        <v>61</v>
      </c>
      <c r="B7" s="22">
        <v>8.2799999999999994</v>
      </c>
      <c r="C7" s="13">
        <v>7</v>
      </c>
      <c r="D7" s="13">
        <v>13.9535</v>
      </c>
      <c r="E7" s="13">
        <v>6.12</v>
      </c>
      <c r="F7" s="3">
        <f>B7*$B$10+C7*$C$10+D7*$D$10+E7*$E$10</f>
        <v>7.8135707896094955</v>
      </c>
    </row>
    <row r="8" spans="1:6">
      <c r="A8" s="8" t="s">
        <v>62</v>
      </c>
      <c r="B8" s="22">
        <v>1.53</v>
      </c>
      <c r="C8" s="13">
        <v>1</v>
      </c>
      <c r="D8" s="13">
        <v>3.3222999999999998</v>
      </c>
      <c r="E8" s="13">
        <v>1.73</v>
      </c>
      <c r="F8" s="3">
        <f>B8*$B$10+C8*$C$10+D8*$D$10+E8*$E$10</f>
        <v>1.7029785996903493</v>
      </c>
    </row>
    <row r="9" spans="1:6">
      <c r="A9" s="23" t="s">
        <v>40</v>
      </c>
      <c r="B9" s="24">
        <v>1972</v>
      </c>
      <c r="C9" s="8">
        <v>988</v>
      </c>
      <c r="D9" s="8">
        <v>602</v>
      </c>
      <c r="E9" s="13">
        <v>2251</v>
      </c>
      <c r="F9" s="3">
        <f>SUM(B9:E9)</f>
        <v>5813</v>
      </c>
    </row>
    <row r="10" spans="1:6">
      <c r="A10" s="23" t="s">
        <v>41</v>
      </c>
      <c r="B10" s="25">
        <f>B9/SUM($B$9:$E$9)</f>
        <v>0.33923963530018925</v>
      </c>
      <c r="C10" s="16">
        <f>C9/SUM($B$9:$E$9)</f>
        <v>0.16996387407534835</v>
      </c>
      <c r="D10" s="16">
        <f>D9/SUM($B$9:$E$9)</f>
        <v>0.10356098400137623</v>
      </c>
      <c r="E10" s="16">
        <f>E9/SUM($B$9:$E$9)</f>
        <v>0.3872355066230862</v>
      </c>
      <c r="F10" s="3">
        <f>SUM(B10:E10)</f>
        <v>1</v>
      </c>
    </row>
    <row r="11" spans="1:6">
      <c r="A11" s="8"/>
      <c r="B11" s="24"/>
      <c r="C11" s="8"/>
      <c r="D11" s="8"/>
      <c r="E11" s="8"/>
      <c r="F11" s="5"/>
    </row>
    <row r="12" spans="1:6">
      <c r="A12" s="26" t="s">
        <v>55</v>
      </c>
      <c r="B12" s="27">
        <f>((-7.5*B4-2.5*B5+0*B6+2.5*B7+7.5*B8)/100)</f>
        <v>0.29200000000000004</v>
      </c>
      <c r="C12" s="28">
        <f>((-7.5*C4-2.5*C5+0*C6+2.5*C7+7.5*C8)/100)</f>
        <v>0.23749999999999999</v>
      </c>
      <c r="D12" s="28">
        <f>((-7.5*D4-2.5*D5+0*D6+2.5*D7+7.5*D8)/100)</f>
        <v>0.49419249999999998</v>
      </c>
      <c r="E12" s="28">
        <f>((-7.5*E4-2.5*E5+0*E6+2.5*E7+7.5*E8)/100)</f>
        <v>0.24424999999999999</v>
      </c>
      <c r="F12" s="7">
        <f>B12*B10+C12*C10+D12*D10+E12*E10</f>
        <v>0.28518572767933942</v>
      </c>
    </row>
    <row r="13" spans="1:6">
      <c r="A13" s="8"/>
      <c r="B13" s="8"/>
      <c r="C13" s="8"/>
      <c r="D13" s="8"/>
      <c r="E13" s="8"/>
      <c r="F13" s="8"/>
    </row>
    <row r="14" spans="1:6">
      <c r="A14" s="17" t="s">
        <v>63</v>
      </c>
      <c r="B14" s="8"/>
      <c r="C14" s="8"/>
      <c r="D14" s="8"/>
      <c r="E14" s="8"/>
      <c r="F14" s="8"/>
    </row>
    <row r="15" spans="1:6">
      <c r="A15" s="40" t="s">
        <v>26</v>
      </c>
    </row>
    <row r="17" spans="1:1">
      <c r="A17" s="48" t="s">
        <v>0</v>
      </c>
    </row>
  </sheetData>
  <hyperlinks>
    <hyperlink ref="A17" location="Contents!A1" display="Table of Contents" xr:uid="{31C06987-1E21-4F5F-BE6D-58B71801792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26DB-CE5F-48D4-AE10-FE83A6C7D2C3}">
  <dimension ref="A2:F17"/>
  <sheetViews>
    <sheetView workbookViewId="0">
      <selection activeCell="G24" sqref="G24"/>
    </sheetView>
  </sheetViews>
  <sheetFormatPr defaultRowHeight="14.45"/>
  <cols>
    <col min="1" max="1" width="56" customWidth="1"/>
    <col min="2" max="2" width="17" customWidth="1"/>
    <col min="3" max="3" width="14.5703125" customWidth="1"/>
    <col min="4" max="4" width="19.140625" customWidth="1"/>
    <col min="5" max="5" width="21.42578125" customWidth="1"/>
    <col min="6" max="6" width="14" customWidth="1"/>
  </cols>
  <sheetData>
    <row r="2" spans="1:6" ht="15.4">
      <c r="A2" s="9" t="s">
        <v>18</v>
      </c>
      <c r="B2" s="8"/>
      <c r="C2" s="8"/>
      <c r="D2" s="8"/>
      <c r="E2" s="8"/>
      <c r="F2" s="8"/>
    </row>
    <row r="3" spans="1:6" ht="42.4">
      <c r="A3" s="10"/>
      <c r="B3" s="11" t="s">
        <v>27</v>
      </c>
      <c r="C3" s="11" t="s">
        <v>28</v>
      </c>
      <c r="D3" s="11" t="s">
        <v>29</v>
      </c>
      <c r="E3" s="11" t="s">
        <v>30</v>
      </c>
      <c r="F3" s="2" t="s">
        <v>31</v>
      </c>
    </row>
    <row r="4" spans="1:6">
      <c r="A4" s="12" t="s">
        <v>59</v>
      </c>
      <c r="B4" s="13">
        <v>0.82</v>
      </c>
      <c r="C4" s="13">
        <v>1</v>
      </c>
      <c r="D4" s="13">
        <v>2.3256000000000001</v>
      </c>
      <c r="E4" s="13">
        <v>0.92</v>
      </c>
      <c r="F4" s="3">
        <f>B4*$B$10+C4*$C$10+D4*$D$10+E4*$E$10</f>
        <v>1.0440849268458661</v>
      </c>
    </row>
    <row r="5" spans="1:6">
      <c r="A5" s="12" t="s">
        <v>60</v>
      </c>
      <c r="B5" s="13">
        <v>1.25</v>
      </c>
      <c r="C5" s="13">
        <v>0.9</v>
      </c>
      <c r="D5" s="13">
        <v>4.3189000000000002</v>
      </c>
      <c r="E5" s="13">
        <v>1.22</v>
      </c>
      <c r="F5" s="3">
        <f>B5*$B$10+C5*$C$10+D5*$D$10+E5*$E$10</f>
        <v>1.4927284450493365</v>
      </c>
    </row>
    <row r="6" spans="1:6">
      <c r="A6" s="12" t="s">
        <v>52</v>
      </c>
      <c r="B6" s="13">
        <v>53.24</v>
      </c>
      <c r="C6" s="13">
        <v>38.700000000000003</v>
      </c>
      <c r="D6" s="13">
        <v>67.608000000000004</v>
      </c>
      <c r="E6" s="13">
        <v>72.44</v>
      </c>
      <c r="F6" s="3">
        <f>B6*$B$10+C6*$C$10+D6*$D$10+E6*$E$10</f>
        <v>59.735004423273224</v>
      </c>
    </row>
    <row r="7" spans="1:6">
      <c r="A7" s="12" t="s">
        <v>61</v>
      </c>
      <c r="B7" s="13">
        <v>28.01</v>
      </c>
      <c r="C7" s="13">
        <v>42.4</v>
      </c>
      <c r="D7" s="13">
        <v>14.617900000000001</v>
      </c>
      <c r="E7" s="13">
        <v>18.7</v>
      </c>
      <c r="F7" s="3">
        <f>B7*$B$10+C7*$C$10+D7*$D$10+E7*$E$10</f>
        <v>25.457467812181012</v>
      </c>
    </row>
    <row r="8" spans="1:6">
      <c r="A8" s="12" t="s">
        <v>62</v>
      </c>
      <c r="B8" s="13">
        <v>16.68</v>
      </c>
      <c r="C8" s="13">
        <v>17.100000000000001</v>
      </c>
      <c r="D8" s="13">
        <v>11.1296</v>
      </c>
      <c r="E8" s="13">
        <v>6.73</v>
      </c>
      <c r="F8" s="3">
        <f>B8*$B$10+C8*$C$10+D8*$D$10+E8*$E$10</f>
        <v>12.291723239197006</v>
      </c>
    </row>
    <row r="9" spans="1:6">
      <c r="A9" s="15" t="s">
        <v>40</v>
      </c>
      <c r="B9" s="8">
        <v>1972</v>
      </c>
      <c r="C9" s="8">
        <v>1005</v>
      </c>
      <c r="D9" s="8">
        <v>602</v>
      </c>
      <c r="E9" s="13">
        <v>2299</v>
      </c>
      <c r="F9" s="3">
        <f>SUM(B9:E9)</f>
        <v>5878</v>
      </c>
    </row>
    <row r="10" spans="1:6">
      <c r="A10" s="15" t="s">
        <v>41</v>
      </c>
      <c r="B10" s="16">
        <f>B9/SUM($B$9:$E$9)</f>
        <v>0.33548826131337189</v>
      </c>
      <c r="C10" s="16">
        <f>C9/SUM($B$9:$E$9)</f>
        <v>0.17097652262674379</v>
      </c>
      <c r="D10" s="16">
        <f>D9/SUM($B$9:$E$9)</f>
        <v>0.10241578768288534</v>
      </c>
      <c r="E10" s="16">
        <f>E9/SUM($B$9:$E$9)</f>
        <v>0.39111942837699898</v>
      </c>
      <c r="F10" s="3">
        <f>SUM(B10:E10)</f>
        <v>1</v>
      </c>
    </row>
    <row r="11" spans="1:6">
      <c r="A11" s="12"/>
      <c r="B11" s="8"/>
      <c r="C11" s="8"/>
      <c r="D11" s="8"/>
      <c r="E11" s="8"/>
      <c r="F11" s="5"/>
    </row>
    <row r="12" spans="1:6">
      <c r="A12" s="18" t="s">
        <v>57</v>
      </c>
      <c r="B12" s="28">
        <f>((-7.5*B4-2.5*B5+0*B6+2.5*B7+7.5*B8)/100)</f>
        <v>1.8585</v>
      </c>
      <c r="C12" s="28">
        <f>((-7.5*C4-2.5*C5+0*C6+2.5*C7+7.5*C8)/100)</f>
        <v>2.2450000000000001</v>
      </c>
      <c r="D12" s="28">
        <f>((-7.5*D4-2.5*D5+0*D6+2.5*D7+7.5*D8)/100)</f>
        <v>0.91777500000000001</v>
      </c>
      <c r="E12" s="28">
        <f>((-7.5*E4-2.5*E5+0*E6+2.5*E7+7.5*E8)/100)</f>
        <v>0.87275000000000003</v>
      </c>
      <c r="F12" s="7">
        <f>B12*B10+C12*C10+D12*D10+E12*E10</f>
        <v>1.4426913576046274</v>
      </c>
    </row>
    <row r="13" spans="1:6">
      <c r="A13" s="8"/>
      <c r="B13" s="8"/>
      <c r="C13" s="8"/>
      <c r="D13" s="8"/>
      <c r="E13" s="8"/>
      <c r="F13" s="8"/>
    </row>
    <row r="14" spans="1:6">
      <c r="A14" s="17" t="s">
        <v>64</v>
      </c>
      <c r="B14" s="8"/>
      <c r="C14" s="8"/>
      <c r="D14" s="8"/>
      <c r="E14" s="8"/>
      <c r="F14" s="8"/>
    </row>
    <row r="15" spans="1:6">
      <c r="A15" s="40" t="s">
        <v>26</v>
      </c>
    </row>
    <row r="17" spans="1:1">
      <c r="A17" s="48" t="s">
        <v>0</v>
      </c>
    </row>
  </sheetData>
  <hyperlinks>
    <hyperlink ref="A17" location="Contents!A1" display="Table of Contents" xr:uid="{26A9105A-FE05-412E-A9B8-7C28E864D79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66724-041C-451E-AA01-2725F9A2F4F2}">
  <dimension ref="A1:G45"/>
  <sheetViews>
    <sheetView workbookViewId="0">
      <selection activeCell="A45" sqref="A45"/>
    </sheetView>
  </sheetViews>
  <sheetFormatPr defaultColWidth="9.140625" defaultRowHeight="13.9"/>
  <cols>
    <col min="1" max="1" width="68.5703125" style="1" bestFit="1" customWidth="1"/>
    <col min="2" max="2" width="19.28515625" style="1" bestFit="1" customWidth="1"/>
    <col min="3" max="3" width="18.85546875" style="1" bestFit="1" customWidth="1"/>
    <col min="4" max="4" width="20.5703125" style="1" bestFit="1" customWidth="1"/>
    <col min="5" max="5" width="19.85546875" style="1" bestFit="1" customWidth="1"/>
    <col min="6" max="6" width="19.28515625" style="1" bestFit="1" customWidth="1"/>
    <col min="7" max="16384" width="9.140625" style="1"/>
  </cols>
  <sheetData>
    <row r="1" spans="1:7">
      <c r="A1" s="8"/>
      <c r="B1" s="8"/>
      <c r="C1" s="8"/>
      <c r="D1" s="8"/>
      <c r="E1" s="8"/>
      <c r="F1" s="8"/>
      <c r="G1" s="8"/>
    </row>
    <row r="2" spans="1:7" ht="15">
      <c r="A2" s="9" t="s">
        <v>65</v>
      </c>
      <c r="B2" s="8"/>
      <c r="C2" s="8"/>
      <c r="D2" s="8"/>
      <c r="E2" s="8"/>
      <c r="F2" s="8"/>
      <c r="G2" s="8"/>
    </row>
    <row r="3" spans="1:7" ht="44.25" customHeight="1">
      <c r="A3" s="10"/>
      <c r="B3" s="11" t="s">
        <v>66</v>
      </c>
      <c r="C3" s="33" t="s">
        <v>67</v>
      </c>
      <c r="D3" s="8"/>
      <c r="E3" s="8"/>
      <c r="F3" s="8"/>
      <c r="G3" s="8"/>
    </row>
    <row r="4" spans="1:7">
      <c r="A4" s="12" t="s">
        <v>50</v>
      </c>
      <c r="B4" s="21">
        <v>8.57</v>
      </c>
      <c r="C4" s="34">
        <v>12.92</v>
      </c>
      <c r="D4" s="8"/>
      <c r="E4" s="8"/>
      <c r="F4" s="8"/>
      <c r="G4" s="8"/>
    </row>
    <row r="5" spans="1:7">
      <c r="A5" s="12" t="s">
        <v>51</v>
      </c>
      <c r="B5" s="22">
        <v>12.84</v>
      </c>
      <c r="C5" s="35">
        <v>12.42</v>
      </c>
      <c r="D5" s="8"/>
      <c r="E5" s="8"/>
      <c r="F5" s="8"/>
      <c r="G5" s="8"/>
    </row>
    <row r="6" spans="1:7">
      <c r="A6" s="12" t="s">
        <v>52</v>
      </c>
      <c r="B6" s="22">
        <v>53.48</v>
      </c>
      <c r="C6" s="35">
        <v>42.18</v>
      </c>
      <c r="D6" s="8"/>
      <c r="E6" s="8"/>
      <c r="F6" s="8"/>
      <c r="G6" s="8"/>
    </row>
    <row r="7" spans="1:7">
      <c r="A7" s="12" t="s">
        <v>53</v>
      </c>
      <c r="B7" s="22">
        <v>11.86</v>
      </c>
      <c r="C7" s="35">
        <v>14.06</v>
      </c>
      <c r="D7" s="8"/>
      <c r="E7" s="8"/>
      <c r="F7" s="8"/>
      <c r="G7" s="8"/>
    </row>
    <row r="8" spans="1:7">
      <c r="A8" s="12" t="s">
        <v>54</v>
      </c>
      <c r="B8" s="22">
        <v>13.24</v>
      </c>
      <c r="C8" s="35">
        <v>18.420000000000002</v>
      </c>
      <c r="D8" s="8"/>
      <c r="E8" s="8"/>
      <c r="F8" s="8"/>
      <c r="G8" s="8"/>
    </row>
    <row r="9" spans="1:7" ht="14.1">
      <c r="A9" s="15" t="s">
        <v>40</v>
      </c>
      <c r="B9" s="24">
        <v>3017</v>
      </c>
      <c r="C9" s="36">
        <v>3017</v>
      </c>
      <c r="D9" s="8"/>
      <c r="E9" s="8"/>
      <c r="F9" s="8"/>
      <c r="G9" s="8"/>
    </row>
    <row r="10" spans="1:7">
      <c r="A10" s="12"/>
      <c r="B10" s="8"/>
      <c r="C10" s="36"/>
      <c r="D10" s="8"/>
      <c r="E10" s="8"/>
      <c r="F10" s="8"/>
      <c r="G10" s="8"/>
    </row>
    <row r="11" spans="1:7" ht="14.1">
      <c r="A11" s="18" t="s">
        <v>68</v>
      </c>
      <c r="B11" s="28">
        <f>((-7.5*B4-2.5*B5+0*B6+2.5*B7+7.5*B8)/100)</f>
        <v>0.32575000000000004</v>
      </c>
      <c r="C11" s="37">
        <f>((-7.5*C4-2.5*C5+0*C6+2.5*C7+7.5*C8)/100)</f>
        <v>0.45349999999999996</v>
      </c>
      <c r="D11" s="8"/>
      <c r="E11" s="8"/>
      <c r="F11" s="8"/>
      <c r="G11" s="8"/>
    </row>
    <row r="12" spans="1:7">
      <c r="A12" s="8"/>
      <c r="B12" s="8"/>
      <c r="C12" s="8"/>
      <c r="D12" s="8"/>
      <c r="E12" s="8"/>
      <c r="F12" s="8"/>
      <c r="G12" s="8"/>
    </row>
    <row r="13" spans="1:7">
      <c r="A13" s="29" t="s">
        <v>69</v>
      </c>
      <c r="B13" s="8"/>
      <c r="C13" s="8"/>
      <c r="D13" s="8"/>
      <c r="E13" s="8"/>
      <c r="F13" s="8"/>
      <c r="G13" s="8"/>
    </row>
    <row r="14" spans="1:7">
      <c r="A14" s="8"/>
      <c r="B14" s="8"/>
      <c r="C14" s="8"/>
      <c r="D14" s="8"/>
      <c r="E14" s="8"/>
      <c r="F14" s="8"/>
      <c r="G14" s="8"/>
    </row>
    <row r="15" spans="1:7">
      <c r="A15" s="8"/>
      <c r="B15" s="8"/>
      <c r="C15" s="8"/>
      <c r="D15" s="8"/>
      <c r="E15" s="8"/>
      <c r="F15" s="8"/>
      <c r="G15" s="8"/>
    </row>
    <row r="16" spans="1:7" ht="15">
      <c r="A16" s="9" t="s">
        <v>70</v>
      </c>
      <c r="B16" s="8"/>
      <c r="C16" s="8"/>
      <c r="D16" s="8"/>
      <c r="E16" s="8"/>
      <c r="F16" s="8"/>
      <c r="G16" s="8"/>
    </row>
    <row r="17" spans="1:7" ht="45" customHeight="1">
      <c r="A17" s="10"/>
      <c r="B17" s="11" t="s">
        <v>66</v>
      </c>
      <c r="C17" s="33" t="s">
        <v>67</v>
      </c>
      <c r="D17" s="8"/>
      <c r="E17" s="8"/>
      <c r="F17" s="8"/>
      <c r="G17" s="8"/>
    </row>
    <row r="18" spans="1:7">
      <c r="A18" s="12" t="s">
        <v>59</v>
      </c>
      <c r="B18" s="21">
        <v>7.06</v>
      </c>
      <c r="C18" s="34">
        <v>8.98</v>
      </c>
      <c r="D18" s="8"/>
      <c r="E18" s="8"/>
      <c r="F18" s="8"/>
      <c r="G18" s="8"/>
    </row>
    <row r="19" spans="1:7">
      <c r="A19" s="12" t="s">
        <v>60</v>
      </c>
      <c r="B19" s="22">
        <v>9.86</v>
      </c>
      <c r="C19" s="35">
        <v>10.35</v>
      </c>
      <c r="D19" s="8"/>
      <c r="E19" s="8"/>
      <c r="F19" s="8"/>
      <c r="G19" s="8"/>
    </row>
    <row r="20" spans="1:7">
      <c r="A20" s="12" t="s">
        <v>52</v>
      </c>
      <c r="B20" s="22">
        <v>55.77</v>
      </c>
      <c r="C20" s="35">
        <v>43.66</v>
      </c>
      <c r="D20" s="8"/>
      <c r="E20" s="8"/>
      <c r="F20" s="8"/>
      <c r="G20" s="8"/>
    </row>
    <row r="21" spans="1:7">
      <c r="A21" s="12" t="s">
        <v>61</v>
      </c>
      <c r="B21" s="22">
        <v>15.64</v>
      </c>
      <c r="C21" s="35">
        <v>18.5</v>
      </c>
      <c r="D21" s="8"/>
      <c r="E21" s="8"/>
      <c r="F21" s="8"/>
      <c r="G21" s="8"/>
    </row>
    <row r="22" spans="1:7">
      <c r="A22" s="12" t="s">
        <v>62</v>
      </c>
      <c r="B22" s="22">
        <v>11.67</v>
      </c>
      <c r="C22" s="35">
        <v>18.510000000000002</v>
      </c>
      <c r="D22" s="8"/>
      <c r="E22" s="8"/>
      <c r="F22" s="8"/>
      <c r="G22" s="8"/>
    </row>
    <row r="23" spans="1:7" ht="14.1">
      <c r="A23" s="15" t="s">
        <v>40</v>
      </c>
      <c r="B23" s="24">
        <v>3017</v>
      </c>
      <c r="C23" s="36">
        <v>3017</v>
      </c>
      <c r="D23" s="8"/>
      <c r="E23" s="8"/>
      <c r="F23" s="8"/>
      <c r="G23" s="8"/>
    </row>
    <row r="24" spans="1:7">
      <c r="A24" s="12"/>
      <c r="B24" s="24"/>
      <c r="C24" s="36"/>
      <c r="D24" s="8"/>
      <c r="E24" s="8"/>
      <c r="F24" s="8"/>
      <c r="G24" s="8"/>
    </row>
    <row r="25" spans="1:7" ht="14.1">
      <c r="A25" s="18" t="s">
        <v>68</v>
      </c>
      <c r="B25" s="27">
        <f>((-7.5*B18-2.5*B19+0*B20+2.5*B21+7.5*B22)/100)</f>
        <v>0.49025000000000013</v>
      </c>
      <c r="C25" s="37">
        <f>((-7.5*C18-2.5*C19+0*C20+2.5*C21+7.5*C22)/100)</f>
        <v>0.91850000000000009</v>
      </c>
      <c r="D25" s="8"/>
      <c r="E25" s="8"/>
      <c r="F25" s="8"/>
      <c r="G25" s="8"/>
    </row>
    <row r="26" spans="1:7">
      <c r="A26" s="8"/>
      <c r="B26" s="8"/>
      <c r="C26" s="8"/>
      <c r="D26" s="8"/>
      <c r="E26" s="8"/>
      <c r="F26" s="8"/>
      <c r="G26" s="8"/>
    </row>
    <row r="27" spans="1:7">
      <c r="A27" s="29" t="s">
        <v>71</v>
      </c>
      <c r="B27" s="8"/>
      <c r="C27" s="8"/>
      <c r="D27" s="8"/>
      <c r="E27" s="8"/>
      <c r="F27" s="8"/>
      <c r="G27" s="8"/>
    </row>
    <row r="28" spans="1:7">
      <c r="A28" s="8"/>
      <c r="B28" s="8"/>
      <c r="C28" s="8"/>
      <c r="D28" s="8"/>
      <c r="E28" s="8"/>
      <c r="F28" s="8"/>
      <c r="G28" s="8"/>
    </row>
    <row r="29" spans="1:7">
      <c r="A29" s="8"/>
      <c r="B29" s="8"/>
      <c r="C29" s="8"/>
      <c r="D29" s="8"/>
      <c r="E29" s="8"/>
      <c r="F29" s="8"/>
      <c r="G29" s="8"/>
    </row>
    <row r="30" spans="1:7">
      <c r="A30" s="8"/>
      <c r="B30" s="8"/>
      <c r="C30" s="8"/>
      <c r="D30" s="8"/>
      <c r="E30" s="8"/>
      <c r="F30" s="8"/>
      <c r="G30" s="8"/>
    </row>
    <row r="31" spans="1:7" ht="15">
      <c r="A31" s="9" t="s">
        <v>72</v>
      </c>
      <c r="B31" s="8"/>
      <c r="C31" s="8"/>
      <c r="D31" s="8"/>
      <c r="E31" s="8"/>
      <c r="F31" s="8"/>
      <c r="G31" s="8"/>
    </row>
    <row r="32" spans="1:7" ht="37.5" customHeight="1">
      <c r="A32" s="30"/>
      <c r="B32" s="31" t="s">
        <v>73</v>
      </c>
      <c r="C32" s="8"/>
      <c r="D32" s="8"/>
      <c r="E32" s="8"/>
      <c r="F32" s="8"/>
      <c r="G32" s="8"/>
    </row>
    <row r="33" spans="1:7">
      <c r="A33" s="32" t="s">
        <v>44</v>
      </c>
      <c r="B33" s="14">
        <v>72.59</v>
      </c>
      <c r="C33" s="8"/>
      <c r="D33" s="8"/>
      <c r="E33" s="8"/>
      <c r="F33" s="8"/>
      <c r="G33" s="8"/>
    </row>
    <row r="34" spans="1:7">
      <c r="A34" s="12" t="s">
        <v>74</v>
      </c>
      <c r="B34" s="14">
        <v>7.65</v>
      </c>
      <c r="C34" s="8"/>
      <c r="D34" s="8"/>
      <c r="E34" s="8"/>
      <c r="F34" s="8"/>
      <c r="G34" s="8"/>
    </row>
    <row r="35" spans="1:7">
      <c r="A35" s="12" t="s">
        <v>75</v>
      </c>
      <c r="B35" s="14">
        <v>11.23</v>
      </c>
      <c r="C35" s="8"/>
      <c r="D35" s="8"/>
      <c r="E35" s="8"/>
      <c r="F35" s="8"/>
      <c r="G35" s="8"/>
    </row>
    <row r="36" spans="1:7">
      <c r="A36" s="12" t="s">
        <v>76</v>
      </c>
      <c r="B36" s="14">
        <v>6.03</v>
      </c>
      <c r="C36" s="8"/>
      <c r="D36" s="8"/>
      <c r="E36" s="8"/>
      <c r="F36" s="8"/>
      <c r="G36" s="8"/>
    </row>
    <row r="37" spans="1:7">
      <c r="A37" s="12" t="s">
        <v>77</v>
      </c>
      <c r="B37" s="14">
        <v>2.5</v>
      </c>
      <c r="C37" s="8"/>
      <c r="D37" s="8"/>
      <c r="E37" s="8"/>
      <c r="F37" s="8"/>
      <c r="G37" s="8"/>
    </row>
    <row r="38" spans="1:7" ht="14.1">
      <c r="A38" s="15" t="s">
        <v>40</v>
      </c>
      <c r="B38" s="12">
        <v>3316</v>
      </c>
      <c r="C38" s="8"/>
      <c r="D38" s="8"/>
      <c r="E38" s="8"/>
      <c r="F38" s="8"/>
      <c r="G38" s="8"/>
    </row>
    <row r="39" spans="1:7">
      <c r="A39" s="12"/>
      <c r="B39" s="12"/>
      <c r="C39" s="8"/>
      <c r="D39" s="8"/>
      <c r="E39" s="8"/>
      <c r="F39" s="8"/>
      <c r="G39" s="8"/>
    </row>
    <row r="40" spans="1:7" ht="14.1">
      <c r="A40" s="18" t="s">
        <v>48</v>
      </c>
      <c r="B40" s="39">
        <f>5*(0.1*B34+0.5*B35+2.5*B36+6*B37)/100</f>
        <v>1.8227499999999999</v>
      </c>
      <c r="C40" s="8"/>
      <c r="D40" s="8"/>
      <c r="E40" s="8"/>
      <c r="F40" s="8"/>
      <c r="G40" s="8"/>
    </row>
    <row r="41" spans="1:7">
      <c r="A41" s="8"/>
      <c r="B41" s="8"/>
      <c r="C41" s="8"/>
      <c r="D41" s="8"/>
      <c r="E41" s="8"/>
      <c r="F41" s="8"/>
      <c r="G41" s="8"/>
    </row>
    <row r="42" spans="1:7">
      <c r="A42" s="29" t="s">
        <v>78</v>
      </c>
      <c r="B42" s="8"/>
      <c r="C42" s="8"/>
      <c r="D42" s="8"/>
      <c r="E42" s="8"/>
      <c r="F42" s="8"/>
      <c r="G42" s="8"/>
    </row>
    <row r="43" spans="1:7">
      <c r="A43" s="40" t="s">
        <v>26</v>
      </c>
      <c r="B43" s="8"/>
      <c r="C43" s="8"/>
      <c r="D43" s="8"/>
      <c r="E43" s="8"/>
      <c r="F43" s="8"/>
      <c r="G43" s="8"/>
    </row>
    <row r="44" spans="1:7">
      <c r="A44" s="8"/>
      <c r="B44" s="8"/>
      <c r="C44" s="8"/>
      <c r="D44" s="8"/>
      <c r="E44" s="8"/>
      <c r="F44" s="8"/>
      <c r="G44" s="8"/>
    </row>
    <row r="45" spans="1:7">
      <c r="A45" s="48" t="s">
        <v>0</v>
      </c>
    </row>
  </sheetData>
  <hyperlinks>
    <hyperlink ref="A45" location="Contents!A1" display="Table of Contents" xr:uid="{8D026DFB-D56A-4023-9C7F-119B343CD969}"/>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26D4-C6F7-4A6C-B6E0-769BC28686B1}">
  <dimension ref="A2:F18"/>
  <sheetViews>
    <sheetView workbookViewId="0">
      <selection activeCell="A25" sqref="A25"/>
    </sheetView>
  </sheetViews>
  <sheetFormatPr defaultRowHeight="14.45"/>
  <cols>
    <col min="1" max="1" width="39.5703125" customWidth="1"/>
    <col min="2" max="2" width="17.140625" customWidth="1"/>
    <col min="3" max="3" width="19.7109375" customWidth="1"/>
    <col min="4" max="4" width="23.28515625" customWidth="1"/>
    <col min="5" max="5" width="25.28515625" customWidth="1"/>
    <col min="6" max="6" width="17.28515625" customWidth="1"/>
  </cols>
  <sheetData>
    <row r="2" spans="1:6" ht="15.4">
      <c r="A2" s="9" t="s">
        <v>22</v>
      </c>
      <c r="B2" s="8"/>
      <c r="C2" s="8"/>
      <c r="D2" s="8"/>
      <c r="E2" s="8"/>
      <c r="F2" s="8"/>
    </row>
    <row r="3" spans="1:6" ht="42.4">
      <c r="A3" s="10"/>
      <c r="B3" s="11" t="s">
        <v>27</v>
      </c>
      <c r="C3" s="11" t="s">
        <v>28</v>
      </c>
      <c r="D3" s="11" t="s">
        <v>29</v>
      </c>
      <c r="E3" s="11" t="s">
        <v>30</v>
      </c>
      <c r="F3" s="2" t="s">
        <v>31</v>
      </c>
    </row>
    <row r="4" spans="1:6">
      <c r="A4" s="12" t="s">
        <v>32</v>
      </c>
      <c r="B4" s="13">
        <v>79.150660000000002</v>
      </c>
      <c r="C4" s="13">
        <v>76.599999999999994</v>
      </c>
      <c r="D4" s="13">
        <v>64.285714285714306</v>
      </c>
      <c r="E4" s="13">
        <v>72.469030000000004</v>
      </c>
      <c r="F4" s="3">
        <f t="shared" ref="F4:F11" si="0">B4*$B$13+C4*$C$13+D4*$D$13+E4*$E$13</f>
        <v>74.651653293214721</v>
      </c>
    </row>
    <row r="5" spans="1:6">
      <c r="A5" s="12" t="s">
        <v>33</v>
      </c>
      <c r="B5" s="13">
        <v>38.300060000000002</v>
      </c>
      <c r="C5" s="13">
        <v>34.700000000000003</v>
      </c>
      <c r="D5" s="13">
        <v>18.604651162790699</v>
      </c>
      <c r="E5" s="13">
        <v>31.484030000000001</v>
      </c>
      <c r="F5" s="3">
        <f t="shared" si="0"/>
        <v>33.055058456305602</v>
      </c>
    </row>
    <row r="6" spans="1:6">
      <c r="A6" s="12" t="s">
        <v>34</v>
      </c>
      <c r="B6" s="13">
        <v>43.512689999999999</v>
      </c>
      <c r="C6" s="13">
        <v>45.9</v>
      </c>
      <c r="D6" s="13">
        <v>31.561461794019898</v>
      </c>
      <c r="E6" s="13">
        <v>36.610239999999997</v>
      </c>
      <c r="F6" s="3">
        <f t="shared" si="0"/>
        <v>40.126601283795566</v>
      </c>
    </row>
    <row r="7" spans="1:6">
      <c r="A7" s="12" t="s">
        <v>35</v>
      </c>
      <c r="B7" s="13">
        <v>35.106209999999997</v>
      </c>
      <c r="C7" s="13">
        <v>32.799999999999997</v>
      </c>
      <c r="D7" s="13">
        <v>28.405315614617901</v>
      </c>
      <c r="E7" s="13">
        <v>31.752849999999999</v>
      </c>
      <c r="F7" s="3">
        <f t="shared" si="0"/>
        <v>32.743303343799049</v>
      </c>
    </row>
    <row r="8" spans="1:6">
      <c r="A8" s="12" t="s">
        <v>36</v>
      </c>
      <c r="B8" s="13">
        <v>29.817240000000002</v>
      </c>
      <c r="C8" s="13">
        <v>28.8</v>
      </c>
      <c r="D8" s="13">
        <v>30.8970099667774</v>
      </c>
      <c r="E8" s="13">
        <v>34.338259999999998</v>
      </c>
      <c r="F8" s="3">
        <f t="shared" si="0"/>
        <v>31.424851962323388</v>
      </c>
    </row>
    <row r="9" spans="1:6">
      <c r="A9" s="12" t="s">
        <v>37</v>
      </c>
      <c r="B9" s="13">
        <v>32.420200000000001</v>
      </c>
      <c r="C9" s="13">
        <v>31.6</v>
      </c>
      <c r="D9" s="13">
        <v>24.750830564784099</v>
      </c>
      <c r="E9" s="13">
        <v>27.1935</v>
      </c>
      <c r="F9" s="3">
        <f t="shared" si="0"/>
        <v>29.528067137624284</v>
      </c>
    </row>
    <row r="10" spans="1:6">
      <c r="A10" s="12" t="s">
        <v>38</v>
      </c>
      <c r="B10" s="13">
        <v>21.335000000000001</v>
      </c>
      <c r="C10" s="13">
        <v>22.3</v>
      </c>
      <c r="D10" s="13">
        <v>23.5880398671096</v>
      </c>
      <c r="E10" s="13">
        <v>18.391169999999999</v>
      </c>
      <c r="F10" s="3">
        <f t="shared" si="0"/>
        <v>20.653102841444266</v>
      </c>
    </row>
    <row r="11" spans="1:6">
      <c r="A11" s="12" t="s">
        <v>39</v>
      </c>
      <c r="B11" s="13">
        <v>13.58206</v>
      </c>
      <c r="C11" s="13">
        <v>14.5</v>
      </c>
      <c r="D11" s="13">
        <v>20.265780730896999</v>
      </c>
      <c r="E11" s="13">
        <v>17.537890000000001</v>
      </c>
      <c r="F11" s="3">
        <f t="shared" si="0"/>
        <v>15.916782548403976</v>
      </c>
    </row>
    <row r="12" spans="1:6">
      <c r="A12" s="15" t="s">
        <v>40</v>
      </c>
      <c r="B12" s="13">
        <v>1972</v>
      </c>
      <c r="C12" s="8">
        <v>1032</v>
      </c>
      <c r="D12" s="8">
        <v>602</v>
      </c>
      <c r="E12" s="8">
        <v>2127</v>
      </c>
      <c r="F12" s="3">
        <f>SUM(B12:E12)</f>
        <v>5733</v>
      </c>
    </row>
    <row r="13" spans="1:6">
      <c r="A13" s="15" t="s">
        <v>41</v>
      </c>
      <c r="B13" s="16">
        <f>B12/SUM($B$12:$E$12)</f>
        <v>0.34397348683062967</v>
      </c>
      <c r="C13" s="16">
        <f>C12/SUM($B$12:$E$12)</f>
        <v>0.18001046572475143</v>
      </c>
      <c r="D13" s="16">
        <f>D12/SUM($B$12:$E$12)</f>
        <v>0.10500610500610501</v>
      </c>
      <c r="E13" s="16">
        <f>E12/SUM($B$12:$E$12)</f>
        <v>0.37100994243851387</v>
      </c>
      <c r="F13" s="3">
        <f>SUM(B13:E13)</f>
        <v>1</v>
      </c>
    </row>
    <row r="14" spans="1:6">
      <c r="A14" s="8"/>
      <c r="B14" s="8"/>
      <c r="C14" s="8"/>
      <c r="D14" s="8"/>
      <c r="E14" s="8"/>
      <c r="F14" s="8"/>
    </row>
    <row r="15" spans="1:6">
      <c r="A15" s="17" t="s">
        <v>79</v>
      </c>
      <c r="B15" s="8"/>
      <c r="C15" s="8"/>
      <c r="D15" s="8"/>
      <c r="E15" s="8"/>
      <c r="F15" s="8"/>
    </row>
    <row r="16" spans="1:6">
      <c r="A16" s="40" t="s">
        <v>26</v>
      </c>
    </row>
    <row r="18" spans="1:1">
      <c r="A18" s="48" t="s">
        <v>0</v>
      </c>
    </row>
  </sheetData>
  <hyperlinks>
    <hyperlink ref="A18" location="Contents!A1" display="Table of Contents" xr:uid="{8B5C02A2-0F8A-4199-8895-95862E68D1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Yotzov, Ivan</dc:creator>
  <cp:keywords/>
  <dc:description/>
  <cp:lastModifiedBy/>
  <cp:revision/>
  <dcterms:created xsi:type="dcterms:W3CDTF">2026-01-30T16:28:29Z</dcterms:created>
  <dcterms:modified xsi:type="dcterms:W3CDTF">2026-02-25T21:59:20Z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-248574399</vt:i4>
  </property>
  <property fmtid="{D5CDD505-2E9C-101B-9397-08002B2CF9AE}" pid="3" name="_NewReviewCycle">
    <vt:lpwstr/>
  </property>
  <property fmtid="{D5CDD505-2E9C-101B-9397-08002B2CF9AE}" pid="4" name="_EmailSubject">
    <vt:lpwstr>[EXTERNAL] AI paper</vt:lpwstr>
  </property>
  <property fmtid="{D5CDD505-2E9C-101B-9397-08002B2CF9AE}" pid="5" name="_AuthorEmail">
    <vt:lpwstr>Ivan.Yotzov@bankofengland.co.uk</vt:lpwstr>
  </property>
  <property fmtid="{D5CDD505-2E9C-101B-9397-08002B2CF9AE}" pid="6" name="_AuthorEmailDisplayName">
    <vt:lpwstr>Yotzov, Ivan</vt:lpwstr>
  </property>
  <property fmtid="{D5CDD505-2E9C-101B-9397-08002B2CF9AE}" pid="7" name="_ReviewingToolsShownOnce">
    <vt:lpwstr/>
  </property>
</Properties>
</file>